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Bence\Downloads\"/>
    </mc:Choice>
  </mc:AlternateContent>
  <xr:revisionPtr revIDLastSave="0" documentId="13_ncr:80000009_{E4273803-44DD-441A-9ECE-F30E9069F500}" xr6:coauthVersionLast="47" xr6:coauthVersionMax="47" xr10:uidLastSave="{00000000-0000-0000-0000-000000000000}"/>
  <bookViews>
    <workbookView xWindow="-110" yWindow="-110" windowWidth="19420" windowHeight="10300" xr2:uid="{7A711941-AC46-429E-8B26-6553242A8EE6}"/>
  </bookViews>
  <sheets>
    <sheet name="data" sheetId="1" r:id="rId1"/>
    <sheet name="Floor1" sheetId="6" r:id="rId2"/>
    <sheet name="Floor2" sheetId="4" r:id="rId3"/>
    <sheet name="Floor3" sheetId="7" r:id="rId4"/>
    <sheet name="Floor4" sheetId="8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8" l="1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M2" i="6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M3" i="6"/>
  <c r="M4" i="6"/>
  <c r="M5" i="6"/>
  <c r="M6" i="6"/>
  <c r="M7" i="6"/>
  <c r="M8" i="6"/>
  <c r="M9" i="6"/>
  <c r="M10" i="6"/>
  <c r="M11" i="6"/>
  <c r="M12" i="6"/>
  <c r="M98" i="6"/>
  <c r="M99" i="6"/>
  <c r="M100" i="6"/>
  <c r="M101" i="6"/>
  <c r="M102" i="6"/>
</calcChain>
</file>

<file path=xl/sharedStrings.xml><?xml version="1.0" encoding="utf-8"?>
<sst xmlns="http://schemas.openxmlformats.org/spreadsheetml/2006/main" count="59" uniqueCount="19">
  <si>
    <t>α</t>
  </si>
  <si>
    <t>Floor1</t>
  </si>
  <si>
    <t>Floor2</t>
  </si>
  <si>
    <t>Floor3</t>
  </si>
  <si>
    <t>Floor4</t>
  </si>
  <si>
    <t>Floor</t>
  </si>
  <si>
    <t>H [m]</t>
  </si>
  <si>
    <t>W [kN]</t>
  </si>
  <si>
    <t>Wall</t>
  </si>
  <si>
    <t>L [m]</t>
  </si>
  <si>
    <t>w [m]</t>
  </si>
  <si>
    <t>Cx [m]</t>
  </si>
  <si>
    <t>Cy [m]</t>
  </si>
  <si>
    <t>σ [N/mm²]</t>
  </si>
  <si>
    <t>τ [N/mm²]</t>
  </si>
  <si>
    <t>fₘ [N/mm²]</t>
  </si>
  <si>
    <t>γ [kN/m³]</t>
  </si>
  <si>
    <t>E [N/mm²]</t>
  </si>
  <si>
    <t>G [N/mm²]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</si>
</sst>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1"/>
      <name val="GreekC"/>
    </font>
    <font>
      <b/>
      <sz val="11"/>
      <color indexed="8"/>
      <name val="GreekC"/>
    </font>
    <font>
      <b/>
      <sz val="11"/>
      <name val="Calibri"/>
      <family val="2"/>
    </font>
    <font>
      <sz val="11"/>
      <name val="Arial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strike/>
      <sz val="11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xfId="0"/>
    <xf numFmtId="0" fontId="8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164" fontId="9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10" fillId="0" borderId="0" xfId="0" applyFont="1"/>
    <xf numFmtId="2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4" fontId="10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left"/>
    </xf>
    <xf numFmtId="0" fontId="10" fillId="0" borderId="0" xfId="0" applyFont="1" applyAlignment="1">
      <alignment horizontal="right"/>
    </xf>
    <xf numFmtId="0" fontId="10" fillId="0" borderId="0" xfId="0" applyFont="1" applyAlignment="1">
      <alignment wrapText="1"/>
    </xf>
    <xf numFmtId="0" fontId="5" fillId="2" borderId="0" xfId="0" applyFont="1" applyFill="1" applyAlignment="1">
      <alignment horizontal="center" vertical="center"/>
    </xf>
    <xf numFmtId="4" fontId="9" fillId="0" borderId="0" xfId="0" applyNumberFormat="1" applyFont="1"/>
    <xf numFmtId="2" fontId="0" fillId="3" borderId="1" xfId="0" applyNumberFormat="1" applyFill="1" applyBorder="1" applyAlignment="1">
      <alignment horizontal="center"/>
    </xf>
    <xf numFmtId="4" fontId="6" fillId="3" borderId="1" xfId="0" applyNumberFormat="1" applyFont="1" applyFill="1" applyBorder="1"/>
    <xf numFmtId="4" fontId="9" fillId="3" borderId="1" xfId="0" applyNumberFormat="1" applyFont="1" applyFill="1" applyBorder="1"/>
    <xf numFmtId="2" fontId="0" fillId="3" borderId="2" xfId="0" applyNumberFormat="1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4" fontId="9" fillId="0" borderId="4" xfId="0" applyNumberFormat="1" applyFont="1" applyBorder="1"/>
    <xf numFmtId="2" fontId="0" fillId="0" borderId="4" xfId="0" applyNumberFormat="1" applyBorder="1"/>
    <xf numFmtId="0" fontId="0" fillId="0" borderId="4" xfId="0" applyBorder="1" applyAlignment="1">
      <alignment horizontal="center" vertical="center"/>
    </xf>
    <xf numFmtId="4" fontId="9" fillId="0" borderId="4" xfId="0" applyNumberFormat="1" applyFon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64" fontId="9" fillId="0" borderId="4" xfId="1" applyNumberFormat="1" applyFont="1" applyBorder="1" applyAlignment="1">
      <alignment horizontal="center" vertical="center"/>
    </xf>
    <xf numFmtId="0" fontId="0" fillId="0" borderId="4" xfId="0" applyBorder="1"/>
    <xf numFmtId="4" fontId="9" fillId="3" borderId="2" xfId="0" applyNumberFormat="1" applyFont="1" applyFill="1" applyBorder="1"/>
    <xf numFmtId="4" fontId="0" fillId="0" borderId="0" xfId="0" applyNumberFormat="1"/>
    <xf numFmtId="0" fontId="0" fillId="2" borderId="2" xfId="0" applyFill="1" applyBorder="1" applyAlignment="1">
      <alignment horizontal="center"/>
    </xf>
    <xf numFmtId="4" fontId="6" fillId="3" borderId="2" xfId="0" applyNumberFormat="1" applyFont="1" applyFill="1" applyBorder="1"/>
    <xf numFmtId="0" fontId="0" fillId="2" borderId="3" xfId="0" applyFill="1" applyBorder="1" applyAlignment="1">
      <alignment horizontal="center"/>
    </xf>
    <xf numFmtId="4" fontId="6" fillId="3" borderId="3" xfId="0" applyNumberFormat="1" applyFont="1" applyFill="1" applyBorder="1"/>
    <xf numFmtId="4" fontId="9" fillId="3" borderId="3" xfId="0" applyNumberFormat="1" applyFont="1" applyFill="1" applyBorder="1"/>
    <xf numFmtId="0" fontId="8" fillId="0" borderId="4" xfId="0" applyFont="1" applyBorder="1"/>
    <xf numFmtId="2" fontId="0" fillId="0" borderId="1" xfId="0" applyNumberFormat="1" applyBorder="1" applyAlignment="1">
      <alignment horizontal="center"/>
    </xf>
    <xf numFmtId="4" fontId="9" fillId="0" borderId="1" xfId="0" applyNumberFormat="1" applyFont="1" applyBorder="1"/>
    <xf numFmtId="1" fontId="9" fillId="0" borderId="1" xfId="0" applyNumberFormat="1" applyFont="1" applyBorder="1"/>
    <xf numFmtId="3" fontId="9" fillId="0" borderId="1" xfId="0" applyNumberFormat="1" applyFont="1" applyBorder="1"/>
    <xf numFmtId="2" fontId="0" fillId="0" borderId="3" xfId="0" applyNumberFormat="1" applyBorder="1" applyAlignment="1">
      <alignment horizontal="center"/>
    </xf>
    <xf numFmtId="4" fontId="9" fillId="0" borderId="3" xfId="0" applyNumberFormat="1" applyFont="1" applyBorder="1"/>
    <xf numFmtId="1" fontId="9" fillId="0" borderId="3" xfId="0" applyNumberFormat="1" applyFont="1" applyBorder="1"/>
    <xf numFmtId="2" fontId="0" fillId="0" borderId="2" xfId="0" applyNumberFormat="1" applyBorder="1" applyAlignment="1">
      <alignment horizontal="center"/>
    </xf>
    <xf numFmtId="4" fontId="9" fillId="0" borderId="2" xfId="0" applyNumberFormat="1" applyFont="1" applyBorder="1"/>
    <xf numFmtId="1" fontId="9" fillId="0" borderId="2" xfId="0" applyNumberFormat="1" applyFont="1" applyBorder="1"/>
    <xf numFmtId="3" fontId="9" fillId="0" borderId="2" xfId="0" applyNumberFormat="1" applyFont="1" applyBorder="1"/>
    <xf numFmtId="3" fontId="9" fillId="0" borderId="3" xfId="0" applyNumberFormat="1" applyFont="1" applyBorder="1"/>
    <xf numFmtId="4" fontId="0" fillId="0" borderId="1" xfId="0" applyNumberFormat="1" applyBorder="1"/>
    <xf numFmtId="2" fontId="0" fillId="0" borderId="0" xfId="0" applyNumberFormat="1" applyAlignment="1">
      <alignment horizontal="center"/>
    </xf>
    <xf numFmtId="2" fontId="0" fillId="0" borderId="1" xfId="0" applyNumberFormat="1" applyBorder="1"/>
    <xf numFmtId="2" fontId="0" fillId="0" borderId="3" xfId="0" applyNumberFormat="1" applyBorder="1"/>
    <xf numFmtId="3" fontId="9" fillId="0" borderId="5" xfId="0" applyNumberFormat="1" applyFont="1" applyBorder="1"/>
    <xf numFmtId="2" fontId="0" fillId="0" borderId="2" xfId="0" applyNumberFormat="1" applyBorder="1"/>
    <xf numFmtId="2" fontId="9" fillId="3" borderId="1" xfId="0" applyNumberFormat="1" applyFont="1" applyFill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2" fontId="9" fillId="0" borderId="1" xfId="0" applyNumberFormat="1" applyFont="1" applyBorder="1"/>
    <xf numFmtId="2" fontId="9" fillId="0" borderId="3" xfId="0" applyNumberFormat="1" applyFont="1" applyBorder="1"/>
    <xf numFmtId="2" fontId="9" fillId="0" borderId="2" xfId="0" applyNumberFormat="1" applyFont="1" applyBorder="1"/>
    <xf numFmtId="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right"/>
    </xf>
    <xf numFmtId="0" fontId="8" fillId="0" borderId="6" xfId="0" applyFont="1" applyBorder="1" applyAlignment="1">
      <alignment horizontal="center" vertical="top"/>
    </xf>
  </cellXfs>
  <cellStyles count="2">
    <cellStyle name="Normál" xfId="0" builtinId="0"/>
    <cellStyle name="Normale 2" xfId="1" xr:uid="{D27F878E-31EF-4C4E-9345-49E031926C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4BCB1-C30C-4A50-AD62-78E89E9F055A}">
  <sheetPr codeName="Foglio1"/>
  <dimension ref="A1:J16"/>
  <sheetViews>
    <sheetView tabSelected="1" workbookViewId="0">
      <selection activeCell="H11" sqref="H11"/>
    </sheetView>
  </sheetViews>
  <sheetFormatPr defaultColWidth="8.90625" defaultRowHeight="14.5"/>
  <cols>
    <col min="1" max="1" width="17.26953125" style="13" customWidth="1"/>
    <col min="2" max="2" width="8.90625" style="13"/>
    <col min="3" max="3" width="11.6328125" style="13" bestFit="1" customWidth="1"/>
    <col min="4" max="16384" width="8.90625" style="13"/>
  </cols>
  <sheetData>
    <row r="1" spans="1:10">
      <c r="A1" s="68" t="s">
        <v>5</v>
      </c>
      <c r="B1" s="68" t="s">
        <v>6</v>
      </c>
      <c r="C1" s="68" t="s">
        <v>7</v>
      </c>
      <c r="D1" s="14"/>
      <c r="E1" s="14"/>
      <c r="F1" s="14"/>
      <c r="G1" s="15"/>
      <c r="H1" s="14"/>
      <c r="I1" s="14"/>
      <c r="J1" s="14"/>
    </row>
    <row r="2" spans="1:10">
      <c r="A2" s="67" t="s">
        <v>1</v>
      </c>
      <c r="B2" s="14">
        <v>6.2</v>
      </c>
      <c r="C2" s="13">
        <v>19378.09</v>
      </c>
      <c r="D2" s="14"/>
      <c r="E2" s="14"/>
      <c r="G2" s="16"/>
      <c r="H2" s="14"/>
      <c r="I2" s="14"/>
      <c r="J2" s="14"/>
    </row>
    <row r="3" spans="1:10">
      <c r="A3" s="67" t="s">
        <v>2</v>
      </c>
      <c r="B3" s="14">
        <v>5.4</v>
      </c>
      <c r="C3" s="13">
        <v>14591.61</v>
      </c>
      <c r="D3" s="14"/>
      <c r="E3" s="14"/>
      <c r="G3" s="17"/>
      <c r="H3" s="14"/>
      <c r="I3" s="14"/>
      <c r="J3" s="14"/>
    </row>
    <row r="4" spans="1:10">
      <c r="A4" s="67" t="s">
        <v>3</v>
      </c>
      <c r="B4" s="14">
        <v>4.2</v>
      </c>
      <c r="C4" s="14">
        <v>10366</v>
      </c>
      <c r="D4" s="14"/>
      <c r="E4" s="14"/>
      <c r="F4" s="14"/>
      <c r="G4" s="15"/>
      <c r="H4" s="14"/>
      <c r="I4" s="14"/>
      <c r="J4" s="14"/>
    </row>
    <row r="5" spans="1:10">
      <c r="A5" s="67" t="s">
        <v>4</v>
      </c>
      <c r="B5" s="14">
        <v>2.2000000000000002</v>
      </c>
      <c r="C5" s="14">
        <v>3401.32</v>
      </c>
      <c r="D5" s="14"/>
      <c r="E5" s="14"/>
      <c r="F5" s="14"/>
      <c r="G5" s="15"/>
      <c r="H5" s="14"/>
      <c r="I5" s="14"/>
      <c r="J5" s="14"/>
    </row>
    <row r="6" spans="1:10">
      <c r="B6" s="15"/>
      <c r="C6" s="14"/>
      <c r="D6" s="14"/>
      <c r="E6" s="14"/>
      <c r="F6" s="14"/>
      <c r="G6" s="15"/>
      <c r="H6" s="14"/>
      <c r="I6" s="14"/>
      <c r="J6" s="14"/>
    </row>
    <row r="7" spans="1:10">
      <c r="A7" s="20"/>
      <c r="B7" s="15"/>
      <c r="C7" s="18"/>
      <c r="D7" s="14"/>
      <c r="E7" s="14"/>
      <c r="F7" s="14"/>
      <c r="G7" s="15"/>
      <c r="H7" s="14"/>
      <c r="I7" s="14"/>
      <c r="J7" s="14"/>
    </row>
    <row r="8" spans="1:10">
      <c r="A8" s="20"/>
      <c r="B8" s="15"/>
      <c r="C8" s="14"/>
      <c r="D8" s="14"/>
      <c r="E8" s="14"/>
      <c r="F8" s="14"/>
      <c r="G8" s="15"/>
      <c r="H8" s="14"/>
      <c r="I8" s="14"/>
      <c r="J8" s="14"/>
    </row>
    <row r="9" spans="1:10">
      <c r="A9" s="20"/>
      <c r="B9" s="15"/>
      <c r="C9" s="14"/>
      <c r="D9" s="14"/>
      <c r="E9" s="14"/>
      <c r="F9" s="14"/>
      <c r="G9" s="15"/>
      <c r="H9" s="14"/>
      <c r="I9" s="14"/>
      <c r="J9" s="14"/>
    </row>
    <row r="10" spans="1:10">
      <c r="A10" s="20"/>
      <c r="B10" s="15"/>
      <c r="C10" s="14"/>
      <c r="D10" s="14"/>
      <c r="E10" s="14"/>
      <c r="F10" s="14"/>
      <c r="G10" s="15"/>
      <c r="H10" s="14"/>
      <c r="I10" s="14"/>
      <c r="J10" s="14"/>
    </row>
    <row r="11" spans="1:10">
      <c r="A11" s="19"/>
      <c r="B11" s="15"/>
      <c r="C11" s="14"/>
      <c r="D11" s="14"/>
      <c r="E11" s="14"/>
      <c r="F11" s="14"/>
      <c r="G11" s="15"/>
      <c r="H11" s="14"/>
      <c r="I11" s="14"/>
      <c r="J11" s="14"/>
    </row>
    <row r="12" spans="1:10">
      <c r="A12" s="19"/>
      <c r="B12" s="15"/>
      <c r="C12" s="14"/>
      <c r="D12" s="14"/>
      <c r="E12" s="14"/>
      <c r="F12" s="14"/>
      <c r="G12" s="15"/>
      <c r="H12" s="14"/>
      <c r="I12" s="14"/>
      <c r="J12" s="14"/>
    </row>
    <row r="13" spans="1:10">
      <c r="A13" s="19"/>
      <c r="B13" s="15"/>
      <c r="C13" s="14"/>
      <c r="D13" s="14"/>
      <c r="E13" s="14"/>
      <c r="F13" s="14"/>
      <c r="G13" s="15"/>
      <c r="H13" s="14"/>
      <c r="I13" s="14"/>
      <c r="J13" s="14"/>
    </row>
    <row r="14" spans="1:10">
      <c r="A14" s="19"/>
      <c r="B14" s="15"/>
      <c r="C14" s="14"/>
      <c r="D14" s="14"/>
      <c r="E14" s="14"/>
      <c r="F14" s="14"/>
      <c r="G14" s="15"/>
      <c r="H14" s="14"/>
      <c r="I14" s="14"/>
      <c r="J14" s="14"/>
    </row>
    <row r="15" spans="1:10">
      <c r="A15" s="19"/>
      <c r="B15" s="15"/>
      <c r="C15" s="14"/>
      <c r="D15" s="14"/>
      <c r="E15" s="14"/>
      <c r="F15" s="14"/>
      <c r="G15" s="15"/>
      <c r="H15" s="14"/>
      <c r="I15" s="14"/>
      <c r="J15" s="14"/>
    </row>
    <row r="16" spans="1:10">
      <c r="A16" s="19"/>
      <c r="B16" s="15"/>
      <c r="C16" s="14"/>
      <c r="D16" s="14"/>
      <c r="E16" s="14"/>
      <c r="F16" s="14"/>
      <c r="G16" s="15"/>
      <c r="H16" s="14"/>
      <c r="I16" s="14"/>
      <c r="J16" s="14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ADC21-8B76-4DF6-B36A-473D899717C5}">
  <sheetPr codeName="Foglio2"/>
  <dimension ref="A1:AE125"/>
  <sheetViews>
    <sheetView zoomScale="83" zoomScaleNormal="100" workbookViewId="0">
      <selection activeCell="N5" sqref="N5"/>
    </sheetView>
  </sheetViews>
  <sheetFormatPr defaultColWidth="8.90625" defaultRowHeight="14.5"/>
  <cols>
    <col min="2" max="3" width="7.26953125" bestFit="1" customWidth="1"/>
    <col min="4" max="4" width="7" bestFit="1" customWidth="1"/>
    <col min="5" max="5" width="6.90625" bestFit="1" customWidth="1"/>
    <col min="6" max="6" width="9" style="3" customWidth="1"/>
    <col min="7" max="7" width="5.6328125" bestFit="1" customWidth="1"/>
    <col min="8" max="8" width="8.26953125" bestFit="1" customWidth="1"/>
    <col min="9" max="10" width="8.6328125" bestFit="1" customWidth="1"/>
    <col min="11" max="12" width="8.26953125" customWidth="1"/>
    <col min="13" max="14" width="9.453125" customWidth="1"/>
    <col min="15" max="15" width="14.6328125" customWidth="1"/>
    <col min="16" max="16" width="8.54296875" customWidth="1"/>
    <col min="18" max="18" width="8.90625" customWidth="1"/>
    <col min="21" max="21" width="19.90625" customWidth="1"/>
    <col min="27" max="27" width="11" customWidth="1"/>
  </cols>
  <sheetData>
    <row r="1" spans="1:31">
      <c r="A1" s="68" t="s">
        <v>8</v>
      </c>
      <c r="B1" s="68" t="s">
        <v>9</v>
      </c>
      <c r="C1" s="68" t="s">
        <v>10</v>
      </c>
      <c r="D1" s="68" t="s">
        <v>11</v>
      </c>
      <c r="E1" s="68" t="s">
        <v>12</v>
      </c>
      <c r="F1" s="68" t="s">
        <v>13</v>
      </c>
      <c r="G1" s="68" t="s">
        <v>6</v>
      </c>
      <c r="H1" s="68" t="s">
        <v>14</v>
      </c>
      <c r="I1" s="68" t="s">
        <v>17</v>
      </c>
      <c r="J1" s="68" t="s">
        <v>18</v>
      </c>
      <c r="K1" s="68" t="s">
        <v>15</v>
      </c>
      <c r="L1" s="68" t="s">
        <v>16</v>
      </c>
      <c r="M1" s="68" t="s">
        <v>0</v>
      </c>
      <c r="N1" s="21"/>
      <c r="O1" s="68"/>
      <c r="P1" s="68"/>
      <c r="Q1" s="68"/>
      <c r="R1" s="68"/>
      <c r="S1" s="68"/>
      <c r="V1" s="8"/>
      <c r="W1" s="9"/>
      <c r="X1" s="9"/>
      <c r="Y1" s="9"/>
      <c r="Z1" s="9"/>
      <c r="AA1" s="10"/>
      <c r="AB1" s="8"/>
      <c r="AC1" s="11"/>
      <c r="AD1" s="9"/>
      <c r="AE1" s="9"/>
    </row>
    <row r="2" spans="1:31">
      <c r="A2" s="4">
        <v>1</v>
      </c>
      <c r="B2" s="61">
        <v>1.49</v>
      </c>
      <c r="C2" s="61">
        <v>0.4</v>
      </c>
      <c r="D2" s="61">
        <v>3.94</v>
      </c>
      <c r="E2" s="61">
        <v>8.6999999999999993</v>
      </c>
      <c r="F2" s="62">
        <v>0.43280000000000002</v>
      </c>
      <c r="G2" s="44">
        <v>6.2</v>
      </c>
      <c r="H2" s="44">
        <v>6.5000000000000002E-2</v>
      </c>
      <c r="I2" s="45">
        <v>780</v>
      </c>
      <c r="J2" s="45">
        <v>130</v>
      </c>
      <c r="K2" s="46">
        <v>3.2</v>
      </c>
      <c r="L2" s="44">
        <v>21</v>
      </c>
      <c r="M2" s="44">
        <f>61</f>
        <v>61</v>
      </c>
      <c r="N2" s="22"/>
      <c r="Q2" s="8"/>
      <c r="R2" s="8"/>
      <c r="S2" s="8"/>
      <c r="V2" s="5"/>
      <c r="W2" s="6"/>
      <c r="X2" s="6"/>
      <c r="Y2" s="6"/>
      <c r="Z2" s="6"/>
      <c r="AA2" s="12"/>
      <c r="AB2" s="5"/>
      <c r="AC2" s="7"/>
      <c r="AD2" s="5"/>
      <c r="AE2" s="5"/>
    </row>
    <row r="3" spans="1:31">
      <c r="A3" s="4">
        <f>A2+1</f>
        <v>2</v>
      </c>
      <c r="B3" s="61">
        <v>4.5199999999999996</v>
      </c>
      <c r="C3" s="61">
        <v>0.4</v>
      </c>
      <c r="D3" s="61">
        <v>5.85</v>
      </c>
      <c r="E3" s="61">
        <v>12.2</v>
      </c>
      <c r="F3" s="62">
        <v>0.58360000000000001</v>
      </c>
      <c r="G3" s="44">
        <v>6.2</v>
      </c>
      <c r="H3" s="44">
        <v>6.5000000000000002E-2</v>
      </c>
      <c r="I3" s="45">
        <v>780</v>
      </c>
      <c r="J3" s="45">
        <v>130</v>
      </c>
      <c r="K3" s="46">
        <v>3.2</v>
      </c>
      <c r="L3" s="44">
        <v>21</v>
      </c>
      <c r="M3" s="44">
        <f>61</f>
        <v>61</v>
      </c>
      <c r="N3" s="22"/>
      <c r="Q3" s="8"/>
      <c r="R3" s="8"/>
      <c r="S3" s="8"/>
      <c r="U3" s="1"/>
      <c r="V3" s="5"/>
      <c r="W3" s="6"/>
      <c r="X3" s="6"/>
      <c r="Y3" s="6"/>
      <c r="Z3" s="6"/>
      <c r="AA3" s="12"/>
      <c r="AB3" s="5"/>
      <c r="AC3" s="7"/>
      <c r="AD3" s="5"/>
      <c r="AE3" s="5"/>
    </row>
    <row r="4" spans="1:31">
      <c r="A4" s="4">
        <f>A3+1</f>
        <v>3</v>
      </c>
      <c r="B4" s="61">
        <v>4.21</v>
      </c>
      <c r="C4" s="61">
        <v>0.4</v>
      </c>
      <c r="D4" s="61">
        <v>8.33</v>
      </c>
      <c r="E4" s="61">
        <v>16.760000000000002</v>
      </c>
      <c r="F4" s="62">
        <v>0.40479999999999999</v>
      </c>
      <c r="G4" s="44">
        <v>6.2</v>
      </c>
      <c r="H4" s="44">
        <v>6.5000000000000002E-2</v>
      </c>
      <c r="I4" s="45">
        <v>780</v>
      </c>
      <c r="J4" s="45">
        <v>130</v>
      </c>
      <c r="K4" s="46">
        <v>3.2</v>
      </c>
      <c r="L4" s="44">
        <v>21</v>
      </c>
      <c r="M4" s="44">
        <f>61</f>
        <v>61</v>
      </c>
      <c r="Q4" s="8"/>
      <c r="R4" s="8"/>
      <c r="S4" s="8"/>
      <c r="AA4" s="12"/>
      <c r="AB4" s="5"/>
      <c r="AC4" s="7"/>
      <c r="AD4" s="5"/>
      <c r="AE4" s="5"/>
    </row>
    <row r="5" spans="1:31">
      <c r="A5" s="4">
        <f>A4+1</f>
        <v>4</v>
      </c>
      <c r="B5" s="61">
        <v>0.78</v>
      </c>
      <c r="C5" s="61">
        <v>0.4</v>
      </c>
      <c r="D5" s="61">
        <v>10.73</v>
      </c>
      <c r="E5" s="61">
        <v>20.53</v>
      </c>
      <c r="F5" s="62">
        <v>1.2234</v>
      </c>
      <c r="G5" s="44">
        <v>6.2</v>
      </c>
      <c r="H5" s="44">
        <v>6.5000000000000002E-2</v>
      </c>
      <c r="I5" s="45">
        <v>780</v>
      </c>
      <c r="J5" s="45">
        <v>130</v>
      </c>
      <c r="K5" s="46">
        <v>3.2</v>
      </c>
      <c r="L5" s="44">
        <v>18</v>
      </c>
      <c r="M5" s="44">
        <f>61</f>
        <v>61</v>
      </c>
      <c r="N5" s="22"/>
      <c r="Q5" s="8"/>
      <c r="R5" s="8"/>
      <c r="S5" s="8"/>
      <c r="U5" s="1"/>
      <c r="V5" s="5"/>
      <c r="W5" s="6"/>
      <c r="X5" s="6"/>
      <c r="Y5" s="6"/>
      <c r="Z5" s="6"/>
      <c r="AA5" s="12"/>
      <c r="AB5" s="5"/>
      <c r="AC5" s="7"/>
      <c r="AD5" s="5"/>
      <c r="AE5" s="5"/>
    </row>
    <row r="6" spans="1:31">
      <c r="A6" s="4">
        <f t="shared" ref="A6:A69" si="0">A5+1</f>
        <v>5</v>
      </c>
      <c r="B6" s="61">
        <v>1.1299999999999999</v>
      </c>
      <c r="C6" s="61">
        <v>0.375</v>
      </c>
      <c r="D6" s="61">
        <v>7.52</v>
      </c>
      <c r="E6" s="61">
        <v>6.19</v>
      </c>
      <c r="F6" s="62">
        <v>0.41253934631268435</v>
      </c>
      <c r="G6" s="44">
        <v>6.2</v>
      </c>
      <c r="H6" s="44">
        <v>6.5000000000000002E-2</v>
      </c>
      <c r="I6" s="45">
        <v>780</v>
      </c>
      <c r="J6" s="45">
        <v>130</v>
      </c>
      <c r="K6" s="46">
        <v>3.2</v>
      </c>
      <c r="L6" s="44">
        <v>21</v>
      </c>
      <c r="M6" s="44">
        <f>61</f>
        <v>61</v>
      </c>
      <c r="N6" s="22"/>
      <c r="Q6" s="8"/>
      <c r="R6" s="8"/>
      <c r="S6" s="8"/>
      <c r="U6" s="1"/>
      <c r="V6" s="5"/>
      <c r="W6" s="6"/>
      <c r="X6" s="6"/>
      <c r="Y6" s="6"/>
      <c r="Z6" s="6"/>
      <c r="AA6" s="12"/>
      <c r="AB6" s="5"/>
      <c r="AC6" s="7"/>
      <c r="AD6" s="5"/>
      <c r="AE6" s="5"/>
    </row>
    <row r="7" spans="1:31">
      <c r="A7" s="4">
        <f t="shared" si="0"/>
        <v>6</v>
      </c>
      <c r="B7" s="23">
        <v>1.66</v>
      </c>
      <c r="C7" s="23">
        <v>0.375</v>
      </c>
      <c r="D7" s="23">
        <v>8.1999999999999993</v>
      </c>
      <c r="E7" s="23">
        <v>7.42</v>
      </c>
      <c r="F7" s="43">
        <v>0.40279883373493974</v>
      </c>
      <c r="G7" s="44">
        <v>6.2</v>
      </c>
      <c r="H7" s="44">
        <v>6.5000000000000002E-2</v>
      </c>
      <c r="I7" s="45">
        <v>780</v>
      </c>
      <c r="J7" s="45">
        <v>130</v>
      </c>
      <c r="K7" s="46">
        <v>3.2</v>
      </c>
      <c r="L7" s="44">
        <v>21</v>
      </c>
      <c r="M7" s="44">
        <f>61</f>
        <v>61</v>
      </c>
      <c r="N7" s="22"/>
      <c r="Q7" s="8"/>
      <c r="R7" s="8"/>
      <c r="S7" s="8"/>
      <c r="U7" s="1"/>
      <c r="V7" s="5"/>
      <c r="W7" s="6"/>
      <c r="X7" s="6"/>
      <c r="Y7" s="6"/>
      <c r="Z7" s="6"/>
      <c r="AA7" s="12"/>
      <c r="AB7" s="5"/>
      <c r="AC7" s="7"/>
      <c r="AD7" s="5"/>
      <c r="AE7" s="5"/>
    </row>
    <row r="8" spans="1:31">
      <c r="A8" s="4">
        <f t="shared" si="0"/>
        <v>7</v>
      </c>
      <c r="B8" s="23">
        <v>3.05</v>
      </c>
      <c r="C8" s="23">
        <v>0.375</v>
      </c>
      <c r="D8" s="23">
        <v>9.33</v>
      </c>
      <c r="E8" s="23">
        <v>9.48</v>
      </c>
      <c r="F8" s="43">
        <v>0.55001287488267447</v>
      </c>
      <c r="G8" s="44">
        <v>6.2</v>
      </c>
      <c r="H8" s="44">
        <v>6.5000000000000002E-2</v>
      </c>
      <c r="I8" s="45">
        <v>780</v>
      </c>
      <c r="J8" s="45">
        <v>130</v>
      </c>
      <c r="K8" s="46">
        <v>3.2</v>
      </c>
      <c r="L8" s="44">
        <v>21</v>
      </c>
      <c r="M8" s="44">
        <f>61</f>
        <v>61</v>
      </c>
      <c r="N8" s="22"/>
      <c r="Q8" s="8"/>
      <c r="R8" s="8"/>
      <c r="S8" s="8"/>
      <c r="U8" s="1"/>
      <c r="V8" s="5"/>
      <c r="W8" s="6"/>
      <c r="X8" s="6"/>
      <c r="Y8" s="6"/>
      <c r="Z8" s="6"/>
      <c r="AA8" s="12"/>
      <c r="AB8" s="5"/>
      <c r="AC8" s="7"/>
      <c r="AD8" s="5"/>
      <c r="AE8" s="5"/>
    </row>
    <row r="9" spans="1:31">
      <c r="A9" s="4">
        <f t="shared" si="0"/>
        <v>8</v>
      </c>
      <c r="B9" s="23">
        <v>6.79</v>
      </c>
      <c r="C9" s="23">
        <v>0.375</v>
      </c>
      <c r="D9" s="23">
        <v>12.27</v>
      </c>
      <c r="E9" s="23">
        <v>14.82</v>
      </c>
      <c r="F9" s="43">
        <v>0.43957644732449674</v>
      </c>
      <c r="G9" s="44">
        <v>6.2</v>
      </c>
      <c r="H9" s="44">
        <v>6.5000000000000002E-2</v>
      </c>
      <c r="I9" s="45">
        <v>780</v>
      </c>
      <c r="J9" s="45">
        <v>130</v>
      </c>
      <c r="K9" s="46">
        <v>3.2</v>
      </c>
      <c r="L9" s="44">
        <v>21</v>
      </c>
      <c r="M9" s="44">
        <f>61</f>
        <v>61</v>
      </c>
      <c r="N9" s="22"/>
      <c r="Q9" s="8"/>
      <c r="R9" s="8"/>
      <c r="S9" s="8"/>
      <c r="U9" s="1"/>
      <c r="V9" s="5"/>
      <c r="W9" s="6"/>
      <c r="X9" s="6"/>
      <c r="Y9" s="6"/>
      <c r="Z9" s="6"/>
      <c r="AA9" s="12"/>
      <c r="AB9" s="5"/>
      <c r="AC9" s="7"/>
      <c r="AD9" s="5"/>
      <c r="AE9" s="5"/>
    </row>
    <row r="10" spans="1:31">
      <c r="A10" s="4">
        <f t="shared" si="0"/>
        <v>9</v>
      </c>
      <c r="B10" s="23">
        <v>1.24</v>
      </c>
      <c r="C10" s="23">
        <v>0.375</v>
      </c>
      <c r="D10" s="23">
        <v>14.15</v>
      </c>
      <c r="E10" s="23">
        <v>18.239999999999998</v>
      </c>
      <c r="F10" s="43">
        <v>0.49522689032258072</v>
      </c>
      <c r="G10" s="44">
        <v>6.2</v>
      </c>
      <c r="H10" s="44">
        <v>6.5000000000000002E-2</v>
      </c>
      <c r="I10" s="45">
        <v>780</v>
      </c>
      <c r="J10" s="45">
        <v>130</v>
      </c>
      <c r="K10" s="46">
        <v>3.2</v>
      </c>
      <c r="L10" s="44">
        <v>21</v>
      </c>
      <c r="M10" s="44">
        <f>61</f>
        <v>61</v>
      </c>
      <c r="N10" s="22"/>
      <c r="Q10" s="8"/>
      <c r="R10" s="8"/>
      <c r="S10" s="8"/>
      <c r="U10" s="1"/>
      <c r="V10" s="5"/>
      <c r="W10" s="6"/>
      <c r="X10" s="6"/>
      <c r="Y10" s="6"/>
      <c r="Z10" s="6"/>
      <c r="AA10" s="12"/>
      <c r="AB10" s="5"/>
      <c r="AC10" s="7"/>
      <c r="AD10" s="5"/>
      <c r="AE10" s="5"/>
    </row>
    <row r="11" spans="1:31">
      <c r="A11" s="4">
        <f t="shared" si="0"/>
        <v>10</v>
      </c>
      <c r="B11" s="23">
        <v>6.09</v>
      </c>
      <c r="C11" s="23">
        <v>0.32499999999999996</v>
      </c>
      <c r="D11" s="23">
        <v>12.46</v>
      </c>
      <c r="E11" s="23">
        <v>5.82</v>
      </c>
      <c r="F11" s="43">
        <v>0.35757453328280919</v>
      </c>
      <c r="G11" s="44">
        <v>6.2</v>
      </c>
      <c r="H11" s="44">
        <v>6.5000000000000002E-2</v>
      </c>
      <c r="I11" s="45">
        <v>780</v>
      </c>
      <c r="J11" s="45">
        <v>130</v>
      </c>
      <c r="K11" s="46">
        <v>3.2</v>
      </c>
      <c r="L11" s="44">
        <v>21</v>
      </c>
      <c r="M11" s="44">
        <f>61</f>
        <v>61</v>
      </c>
      <c r="N11" s="22"/>
      <c r="Q11" s="8"/>
      <c r="R11" s="8"/>
      <c r="S11" s="8"/>
      <c r="U11" s="1"/>
      <c r="V11" s="5"/>
      <c r="W11" s="6"/>
      <c r="X11" s="6"/>
      <c r="Y11" s="6"/>
      <c r="Z11" s="6"/>
      <c r="AA11" s="12"/>
      <c r="AB11" s="5"/>
      <c r="AC11" s="7"/>
      <c r="AD11" s="5"/>
      <c r="AE11" s="5"/>
    </row>
    <row r="12" spans="1:31">
      <c r="A12" s="4">
        <f t="shared" si="0"/>
        <v>11</v>
      </c>
      <c r="B12" s="23">
        <v>4.3499999999999996</v>
      </c>
      <c r="C12" s="23">
        <v>0.32499999999999996</v>
      </c>
      <c r="D12" s="23">
        <v>17.28</v>
      </c>
      <c r="E12" s="23">
        <v>14.47</v>
      </c>
      <c r="F12" s="43">
        <v>0.49087385959328045</v>
      </c>
      <c r="G12" s="44">
        <v>6.2</v>
      </c>
      <c r="H12" s="44">
        <v>6.5000000000000002E-2</v>
      </c>
      <c r="I12" s="45">
        <v>780</v>
      </c>
      <c r="J12" s="45">
        <v>130</v>
      </c>
      <c r="K12" s="46">
        <v>3.2</v>
      </c>
      <c r="L12" s="44">
        <v>21</v>
      </c>
      <c r="M12" s="44">
        <f>61</f>
        <v>61</v>
      </c>
      <c r="N12" s="22"/>
      <c r="Q12" s="8"/>
      <c r="R12" s="8"/>
      <c r="S12" s="8"/>
      <c r="U12" s="1"/>
      <c r="V12" s="5"/>
      <c r="W12" s="6"/>
      <c r="X12" s="6"/>
      <c r="Y12" s="6"/>
      <c r="Z12" s="6"/>
      <c r="AA12" s="12"/>
      <c r="AB12" s="5"/>
      <c r="AC12" s="7"/>
      <c r="AD12" s="5"/>
      <c r="AE12" s="5"/>
    </row>
    <row r="13" spans="1:31">
      <c r="A13" s="4">
        <f t="shared" si="0"/>
        <v>12</v>
      </c>
      <c r="B13" s="23">
        <v>2.59</v>
      </c>
      <c r="C13" s="23">
        <v>0.67499999999999993</v>
      </c>
      <c r="D13" s="23">
        <v>4.4000000000000004</v>
      </c>
      <c r="E13" s="23">
        <v>7.14</v>
      </c>
      <c r="F13" s="43">
        <v>0.38189175175175177</v>
      </c>
      <c r="G13" s="44">
        <v>6.2</v>
      </c>
      <c r="H13" s="44">
        <v>6.5000000000000002E-2</v>
      </c>
      <c r="I13" s="45">
        <v>780</v>
      </c>
      <c r="J13" s="45">
        <v>130</v>
      </c>
      <c r="K13" s="46">
        <v>3.2</v>
      </c>
      <c r="L13" s="44">
        <v>21</v>
      </c>
      <c r="M13" s="44">
        <v>148</v>
      </c>
      <c r="N13" s="22"/>
      <c r="Q13" s="8"/>
      <c r="R13" s="8"/>
      <c r="S13" s="8"/>
      <c r="U13" s="1"/>
      <c r="V13" s="5"/>
      <c r="W13" s="6"/>
      <c r="X13" s="6"/>
      <c r="Y13" s="6"/>
      <c r="Z13" s="6"/>
      <c r="AA13" s="12"/>
      <c r="AB13" s="5"/>
      <c r="AC13" s="7"/>
      <c r="AD13" s="5"/>
      <c r="AE13" s="5"/>
    </row>
    <row r="14" spans="1:31">
      <c r="A14" s="4">
        <f t="shared" si="0"/>
        <v>13</v>
      </c>
      <c r="B14" s="23">
        <v>2.29</v>
      </c>
      <c r="C14" s="23">
        <v>0.67499999999999993</v>
      </c>
      <c r="D14" s="23">
        <v>7.58</v>
      </c>
      <c r="E14" s="23">
        <v>5.16</v>
      </c>
      <c r="F14" s="43">
        <v>0.42661347565906516</v>
      </c>
      <c r="G14" s="44">
        <v>6.2</v>
      </c>
      <c r="H14" s="44">
        <v>6.5000000000000002E-2</v>
      </c>
      <c r="I14" s="45">
        <v>780</v>
      </c>
      <c r="J14" s="45">
        <v>130</v>
      </c>
      <c r="K14" s="46">
        <v>3.2</v>
      </c>
      <c r="L14" s="44">
        <v>21</v>
      </c>
      <c r="M14" s="44">
        <v>148</v>
      </c>
      <c r="N14" s="22"/>
      <c r="Q14" s="8"/>
      <c r="R14" s="8"/>
      <c r="S14" s="8"/>
      <c r="U14" s="1"/>
      <c r="V14" s="5"/>
      <c r="W14" s="6"/>
      <c r="X14" s="6"/>
      <c r="Y14" s="6"/>
      <c r="Z14" s="6"/>
      <c r="AA14" s="12"/>
      <c r="AB14" s="5"/>
      <c r="AC14" s="7"/>
      <c r="AD14" s="5"/>
      <c r="AE14" s="5"/>
    </row>
    <row r="15" spans="1:31">
      <c r="A15" s="4">
        <f t="shared" si="0"/>
        <v>14</v>
      </c>
      <c r="B15" s="23">
        <v>2.27</v>
      </c>
      <c r="C15" s="23">
        <v>0.67499999999999993</v>
      </c>
      <c r="D15" s="23">
        <v>10.62</v>
      </c>
      <c r="E15" s="23">
        <v>3.28</v>
      </c>
      <c r="F15" s="43">
        <v>0.42731971936694413</v>
      </c>
      <c r="G15" s="44">
        <v>6.2</v>
      </c>
      <c r="H15" s="44">
        <v>6.5000000000000002E-2</v>
      </c>
      <c r="I15" s="45">
        <v>780</v>
      </c>
      <c r="J15" s="45">
        <v>130</v>
      </c>
      <c r="K15" s="46">
        <v>3.2</v>
      </c>
      <c r="L15" s="44">
        <v>21</v>
      </c>
      <c r="M15" s="44">
        <v>148</v>
      </c>
      <c r="N15" s="22"/>
      <c r="Q15" s="8"/>
      <c r="R15" s="8"/>
      <c r="S15" s="8"/>
      <c r="U15" s="1"/>
      <c r="V15" s="5"/>
      <c r="W15" s="6"/>
      <c r="X15" s="6"/>
      <c r="Y15" s="6"/>
      <c r="Z15" s="6"/>
      <c r="AA15" s="12"/>
      <c r="AB15" s="5"/>
      <c r="AC15" s="7"/>
      <c r="AD15" s="5"/>
      <c r="AE15" s="5"/>
    </row>
    <row r="16" spans="1:31">
      <c r="A16" s="4">
        <f t="shared" si="0"/>
        <v>15</v>
      </c>
      <c r="B16" s="23">
        <v>2.4500000000000002</v>
      </c>
      <c r="C16" s="23">
        <v>0.67499999999999993</v>
      </c>
      <c r="D16" s="23">
        <v>13.73</v>
      </c>
      <c r="E16" s="23">
        <v>1.34</v>
      </c>
      <c r="F16" s="43">
        <v>0.38391671957671958</v>
      </c>
      <c r="G16" s="44">
        <v>6.2</v>
      </c>
      <c r="H16" s="44">
        <v>6.5000000000000002E-2</v>
      </c>
      <c r="I16" s="45">
        <v>780</v>
      </c>
      <c r="J16" s="45">
        <v>130</v>
      </c>
      <c r="K16" s="46">
        <v>3.2</v>
      </c>
      <c r="L16" s="44">
        <v>21</v>
      </c>
      <c r="M16" s="44">
        <v>148</v>
      </c>
      <c r="N16" s="22"/>
      <c r="Q16" s="8"/>
      <c r="R16" s="8"/>
      <c r="S16" s="8"/>
      <c r="U16" s="1"/>
      <c r="V16" s="5"/>
      <c r="W16" s="6"/>
      <c r="X16" s="6"/>
      <c r="Y16" s="6"/>
      <c r="Z16" s="6"/>
      <c r="AA16" s="12"/>
      <c r="AB16" s="5"/>
      <c r="AC16" s="7"/>
      <c r="AD16" s="5"/>
      <c r="AE16" s="5"/>
    </row>
    <row r="17" spans="1:31">
      <c r="A17" s="4">
        <f t="shared" si="0"/>
        <v>16</v>
      </c>
      <c r="B17" s="23">
        <v>2.34</v>
      </c>
      <c r="C17" s="23">
        <v>0.77500000000000002</v>
      </c>
      <c r="D17" s="23">
        <v>16.75</v>
      </c>
      <c r="E17" s="23">
        <v>7.86</v>
      </c>
      <c r="F17" s="43">
        <v>0.39671556548111381</v>
      </c>
      <c r="G17" s="44">
        <v>6.2</v>
      </c>
      <c r="H17" s="44">
        <v>6.5000000000000002E-2</v>
      </c>
      <c r="I17" s="45">
        <v>780</v>
      </c>
      <c r="J17" s="45">
        <v>130</v>
      </c>
      <c r="K17" s="46">
        <v>3.2</v>
      </c>
      <c r="L17" s="44">
        <v>21</v>
      </c>
      <c r="M17" s="44">
        <v>61</v>
      </c>
      <c r="N17" s="22"/>
      <c r="Q17" s="8"/>
      <c r="R17" s="8"/>
      <c r="S17" s="8"/>
      <c r="U17" s="1"/>
      <c r="V17" s="5"/>
      <c r="W17" s="6"/>
      <c r="X17" s="6"/>
      <c r="Y17" s="6"/>
      <c r="Z17" s="6"/>
      <c r="AA17" s="12"/>
      <c r="AB17" s="5"/>
      <c r="AC17" s="7"/>
      <c r="AD17" s="5"/>
      <c r="AE17" s="5"/>
    </row>
    <row r="18" spans="1:31">
      <c r="A18" s="4">
        <f t="shared" si="0"/>
        <v>17</v>
      </c>
      <c r="B18" s="23">
        <v>2.13</v>
      </c>
      <c r="C18" s="23">
        <v>0.77500000000000002</v>
      </c>
      <c r="D18" s="23">
        <v>17.809999999999999</v>
      </c>
      <c r="E18" s="23">
        <v>9.73</v>
      </c>
      <c r="F18" s="43">
        <v>0.3770786042707861</v>
      </c>
      <c r="G18" s="44">
        <v>6.2</v>
      </c>
      <c r="H18" s="44">
        <v>6.5000000000000002E-2</v>
      </c>
      <c r="I18" s="45">
        <v>780</v>
      </c>
      <c r="J18" s="45">
        <v>130</v>
      </c>
      <c r="K18" s="46">
        <v>3.2</v>
      </c>
      <c r="L18" s="44">
        <v>21</v>
      </c>
      <c r="M18" s="44">
        <v>61</v>
      </c>
      <c r="N18" s="22"/>
      <c r="Q18" s="8"/>
      <c r="R18" s="8"/>
      <c r="S18" s="8"/>
      <c r="U18" s="1"/>
      <c r="V18" s="5"/>
      <c r="W18" s="6"/>
      <c r="X18" s="6"/>
      <c r="Y18" s="6"/>
      <c r="Z18" s="6"/>
      <c r="AA18" s="12"/>
      <c r="AB18" s="5"/>
      <c r="AC18" s="7"/>
      <c r="AD18" s="5"/>
      <c r="AE18" s="5"/>
    </row>
    <row r="19" spans="1:31">
      <c r="A19" s="4">
        <f t="shared" si="0"/>
        <v>18</v>
      </c>
      <c r="B19" s="23">
        <v>1.9</v>
      </c>
      <c r="C19" s="23">
        <v>0.53500000000000003</v>
      </c>
      <c r="D19" s="23">
        <v>14.51</v>
      </c>
      <c r="E19" s="23">
        <v>2.27</v>
      </c>
      <c r="F19" s="43">
        <v>0.32377557631785819</v>
      </c>
      <c r="G19" s="44">
        <v>6.2</v>
      </c>
      <c r="H19" s="44">
        <v>6.5000000000000002E-2</v>
      </c>
      <c r="I19" s="45">
        <v>780</v>
      </c>
      <c r="J19" s="45">
        <v>130</v>
      </c>
      <c r="K19" s="46">
        <v>3.2</v>
      </c>
      <c r="L19" s="44">
        <v>21</v>
      </c>
      <c r="M19" s="44">
        <v>61</v>
      </c>
      <c r="N19" s="22"/>
      <c r="Q19" s="8"/>
      <c r="R19" s="8"/>
      <c r="S19" s="8"/>
      <c r="U19" s="1"/>
      <c r="V19" s="5"/>
      <c r="W19" s="6"/>
      <c r="X19" s="6"/>
      <c r="Y19" s="6"/>
      <c r="Z19" s="6"/>
      <c r="AA19" s="12"/>
      <c r="AB19" s="5"/>
      <c r="AC19" s="7"/>
      <c r="AD19" s="5"/>
      <c r="AE19" s="5"/>
    </row>
    <row r="20" spans="1:31">
      <c r="A20" s="4">
        <f t="shared" si="0"/>
        <v>19</v>
      </c>
      <c r="B20" s="61">
        <v>2.95</v>
      </c>
      <c r="C20" s="61">
        <v>0.53500000000000003</v>
      </c>
      <c r="D20" s="61">
        <v>16.05</v>
      </c>
      <c r="E20" s="61">
        <v>4.9800000000000004</v>
      </c>
      <c r="F20" s="62">
        <v>0.4134973776823081</v>
      </c>
      <c r="G20" s="44">
        <v>6.2</v>
      </c>
      <c r="H20" s="44">
        <v>6.5000000000000002E-2</v>
      </c>
      <c r="I20" s="45">
        <v>780</v>
      </c>
      <c r="J20" s="45">
        <v>130</v>
      </c>
      <c r="K20" s="46">
        <v>3.2</v>
      </c>
      <c r="L20" s="44">
        <v>21</v>
      </c>
      <c r="M20" s="44">
        <v>61</v>
      </c>
      <c r="N20" s="22"/>
      <c r="Q20" s="8"/>
      <c r="R20" s="8"/>
      <c r="S20" s="8"/>
      <c r="U20" s="1"/>
      <c r="V20" s="5"/>
      <c r="W20" s="6"/>
      <c r="X20" s="6"/>
      <c r="Y20" s="6"/>
      <c r="Z20" s="6"/>
      <c r="AA20" s="12"/>
      <c r="AB20" s="5"/>
      <c r="AC20" s="7"/>
      <c r="AD20" s="5"/>
      <c r="AE20" s="5"/>
    </row>
    <row r="21" spans="1:31">
      <c r="A21" s="4">
        <f t="shared" si="0"/>
        <v>20</v>
      </c>
      <c r="B21" s="61">
        <v>1</v>
      </c>
      <c r="C21" s="61">
        <v>0.47499999999999998</v>
      </c>
      <c r="D21" s="61">
        <v>6.77</v>
      </c>
      <c r="E21" s="61">
        <v>22.86</v>
      </c>
      <c r="F21" s="62">
        <v>0.68540000000000001</v>
      </c>
      <c r="G21" s="44">
        <v>6.2</v>
      </c>
      <c r="H21" s="44">
        <v>6.5000000000000002E-2</v>
      </c>
      <c r="I21" s="45">
        <v>780</v>
      </c>
      <c r="J21" s="45">
        <v>130</v>
      </c>
      <c r="K21" s="46">
        <v>3.2</v>
      </c>
      <c r="L21" s="44">
        <v>21</v>
      </c>
      <c r="M21" s="44">
        <v>62</v>
      </c>
      <c r="N21" s="22"/>
      <c r="Q21" s="8"/>
      <c r="R21" s="8"/>
      <c r="S21" s="8"/>
      <c r="U21" s="1"/>
      <c r="V21" s="5"/>
      <c r="W21" s="6"/>
      <c r="X21" s="6"/>
      <c r="Y21" s="6"/>
      <c r="Z21" s="6"/>
      <c r="AA21" s="12"/>
      <c r="AB21" s="5"/>
      <c r="AC21" s="7"/>
      <c r="AD21" s="5"/>
      <c r="AE21" s="5"/>
    </row>
    <row r="22" spans="1:31">
      <c r="A22" s="4">
        <f t="shared" si="0"/>
        <v>21</v>
      </c>
      <c r="B22" s="61">
        <v>1.3</v>
      </c>
      <c r="C22" s="61">
        <v>0.47499999999999998</v>
      </c>
      <c r="D22" s="61">
        <v>5.4</v>
      </c>
      <c r="E22" s="61">
        <v>20.350000000000001</v>
      </c>
      <c r="F22" s="62">
        <v>0.86099999999999999</v>
      </c>
      <c r="G22" s="44">
        <v>6.2</v>
      </c>
      <c r="H22" s="44">
        <v>6.5000000000000002E-2</v>
      </c>
      <c r="I22" s="45">
        <v>780</v>
      </c>
      <c r="J22" s="45">
        <v>130</v>
      </c>
      <c r="K22" s="46">
        <v>3.2</v>
      </c>
      <c r="L22" s="44">
        <v>21</v>
      </c>
      <c r="M22" s="44">
        <v>62</v>
      </c>
      <c r="N22" s="22"/>
      <c r="Q22" s="8"/>
      <c r="R22" s="8"/>
      <c r="S22" s="8"/>
      <c r="U22" s="1"/>
      <c r="V22" s="5"/>
      <c r="W22" s="6"/>
      <c r="X22" s="6"/>
      <c r="Y22" s="6"/>
      <c r="Z22" s="6"/>
      <c r="AA22" s="12"/>
      <c r="AB22" s="5"/>
      <c r="AC22" s="7"/>
      <c r="AD22" s="5"/>
      <c r="AE22" s="5"/>
    </row>
    <row r="23" spans="1:31">
      <c r="A23" s="4">
        <f t="shared" si="0"/>
        <v>22</v>
      </c>
      <c r="B23" s="61">
        <v>1.6</v>
      </c>
      <c r="C23" s="61">
        <v>0.47499999999999998</v>
      </c>
      <c r="D23" s="61">
        <v>3.91</v>
      </c>
      <c r="E23" s="61">
        <v>17.61</v>
      </c>
      <c r="F23" s="62">
        <v>0.63139999999999996</v>
      </c>
      <c r="G23" s="44">
        <v>6.2</v>
      </c>
      <c r="H23" s="44">
        <v>6.5000000000000002E-2</v>
      </c>
      <c r="I23" s="45">
        <v>780</v>
      </c>
      <c r="J23" s="45">
        <v>130</v>
      </c>
      <c r="K23" s="46">
        <v>3.2</v>
      </c>
      <c r="L23" s="44">
        <v>21</v>
      </c>
      <c r="M23" s="44">
        <v>62</v>
      </c>
      <c r="N23" s="22"/>
      <c r="Q23" s="8"/>
      <c r="R23" s="8"/>
      <c r="S23" s="8"/>
      <c r="U23" s="1"/>
      <c r="V23" s="5"/>
      <c r="W23" s="6"/>
      <c r="X23" s="6"/>
      <c r="Y23" s="6"/>
      <c r="Z23" s="6"/>
      <c r="AA23" s="12"/>
      <c r="AB23" s="5"/>
      <c r="AC23" s="7"/>
      <c r="AD23" s="5"/>
      <c r="AE23" s="5"/>
    </row>
    <row r="24" spans="1:31">
      <c r="A24" s="4">
        <f t="shared" si="0"/>
        <v>23</v>
      </c>
      <c r="B24" s="61">
        <v>0.7</v>
      </c>
      <c r="C24" s="61">
        <v>0.47499999999999998</v>
      </c>
      <c r="D24" s="61">
        <v>2.89</v>
      </c>
      <c r="E24" s="61">
        <v>15.7</v>
      </c>
      <c r="F24" s="62">
        <v>1.2385999999999999</v>
      </c>
      <c r="G24" s="44">
        <v>6.2</v>
      </c>
      <c r="H24" s="44">
        <v>6.5000000000000002E-2</v>
      </c>
      <c r="I24" s="45">
        <v>780</v>
      </c>
      <c r="J24" s="45">
        <v>130</v>
      </c>
      <c r="K24" s="46">
        <v>3.2</v>
      </c>
      <c r="L24" s="44">
        <v>21</v>
      </c>
      <c r="M24" s="44">
        <v>62</v>
      </c>
      <c r="N24" s="22"/>
      <c r="Q24" s="8"/>
      <c r="R24" s="8"/>
      <c r="S24" s="8"/>
      <c r="U24" s="1"/>
      <c r="V24" s="5"/>
      <c r="W24" s="6"/>
      <c r="X24" s="6"/>
      <c r="Y24" s="6"/>
      <c r="Z24" s="6"/>
      <c r="AA24" s="12"/>
      <c r="AB24" s="5"/>
      <c r="AC24" s="7"/>
      <c r="AD24" s="5"/>
      <c r="AE24" s="5"/>
    </row>
    <row r="25" spans="1:31">
      <c r="A25" s="4">
        <f t="shared" si="0"/>
        <v>24</v>
      </c>
      <c r="B25" s="61">
        <v>1.8</v>
      </c>
      <c r="C25" s="61">
        <v>0.47499999999999998</v>
      </c>
      <c r="D25" s="61">
        <v>0.81</v>
      </c>
      <c r="E25" s="61">
        <v>11.87</v>
      </c>
      <c r="F25" s="62">
        <v>0.62770000000000004</v>
      </c>
      <c r="G25" s="44">
        <v>6.2</v>
      </c>
      <c r="H25" s="44">
        <v>6.5000000000000002E-2</v>
      </c>
      <c r="I25" s="45">
        <v>780</v>
      </c>
      <c r="J25" s="45">
        <v>130</v>
      </c>
      <c r="K25" s="46">
        <v>3.2</v>
      </c>
      <c r="L25" s="44">
        <v>21</v>
      </c>
      <c r="M25" s="44">
        <v>62</v>
      </c>
      <c r="N25" s="22"/>
      <c r="Q25" s="8"/>
      <c r="R25" s="8"/>
      <c r="S25" s="8"/>
      <c r="U25" s="1"/>
      <c r="V25" s="5"/>
      <c r="W25" s="6"/>
      <c r="X25" s="6"/>
      <c r="Y25" s="6"/>
      <c r="Z25" s="6"/>
      <c r="AA25" s="12"/>
      <c r="AB25" s="5"/>
      <c r="AC25" s="7"/>
      <c r="AD25" s="5"/>
      <c r="AE25" s="5"/>
    </row>
    <row r="26" spans="1:31">
      <c r="A26" s="4">
        <f t="shared" si="0"/>
        <v>25</v>
      </c>
      <c r="B26" s="61">
        <v>1.3</v>
      </c>
      <c r="C26" s="61">
        <v>0.375</v>
      </c>
      <c r="D26" s="61">
        <v>21.39</v>
      </c>
      <c r="E26" s="61">
        <v>15.02</v>
      </c>
      <c r="F26" s="62">
        <v>0.38834092307692303</v>
      </c>
      <c r="G26" s="44">
        <v>6.2</v>
      </c>
      <c r="H26" s="44">
        <v>6.5000000000000002E-2</v>
      </c>
      <c r="I26" s="45">
        <v>780</v>
      </c>
      <c r="J26" s="45">
        <v>130</v>
      </c>
      <c r="K26" s="46">
        <v>3.2</v>
      </c>
      <c r="L26" s="44">
        <v>21</v>
      </c>
      <c r="M26" s="44">
        <v>151</v>
      </c>
      <c r="N26" s="22"/>
      <c r="Q26" s="8"/>
      <c r="R26" s="8"/>
      <c r="S26" s="8"/>
      <c r="V26" s="5"/>
      <c r="W26" s="6"/>
      <c r="X26" s="6"/>
      <c r="Y26" s="6"/>
      <c r="Z26" s="6"/>
      <c r="AA26" s="12"/>
      <c r="AB26" s="5"/>
      <c r="AC26" s="7"/>
      <c r="AD26" s="5"/>
      <c r="AE26" s="5"/>
    </row>
    <row r="27" spans="1:31">
      <c r="A27" s="4">
        <f t="shared" si="0"/>
        <v>26</v>
      </c>
      <c r="B27" s="23">
        <v>2.6</v>
      </c>
      <c r="C27" s="23">
        <v>0.375</v>
      </c>
      <c r="D27" s="23">
        <v>18.64</v>
      </c>
      <c r="E27" s="23">
        <v>16.559999999999999</v>
      </c>
      <c r="F27" s="43">
        <v>0.43524306175514627</v>
      </c>
      <c r="G27" s="44">
        <v>6.2</v>
      </c>
      <c r="H27" s="44">
        <v>6.5000000000000002E-2</v>
      </c>
      <c r="I27" s="45">
        <v>780</v>
      </c>
      <c r="J27" s="45">
        <v>130</v>
      </c>
      <c r="K27" s="46">
        <v>3.2</v>
      </c>
      <c r="L27" s="44">
        <v>21</v>
      </c>
      <c r="M27" s="44">
        <v>151</v>
      </c>
      <c r="N27" s="22"/>
      <c r="Q27" s="8"/>
      <c r="R27" s="8"/>
      <c r="S27" s="8"/>
      <c r="V27" s="5"/>
      <c r="W27" s="6"/>
      <c r="X27" s="6"/>
      <c r="Y27" s="6"/>
      <c r="Z27" s="6"/>
      <c r="AA27" s="12"/>
      <c r="AB27" s="5"/>
      <c r="AC27" s="7"/>
      <c r="AD27" s="5"/>
      <c r="AE27" s="5"/>
    </row>
    <row r="28" spans="1:31">
      <c r="A28" s="4">
        <f t="shared" si="0"/>
        <v>27</v>
      </c>
      <c r="B28" s="23">
        <v>2.4</v>
      </c>
      <c r="C28" s="23">
        <v>0.375</v>
      </c>
      <c r="D28" s="23">
        <v>14.66</v>
      </c>
      <c r="E28" s="23">
        <v>18.8</v>
      </c>
      <c r="F28" s="43">
        <v>0.49344930046948365</v>
      </c>
      <c r="G28" s="44">
        <v>6.2</v>
      </c>
      <c r="H28" s="44">
        <v>6.5000000000000002E-2</v>
      </c>
      <c r="I28" s="45">
        <v>780</v>
      </c>
      <c r="J28" s="45">
        <v>130</v>
      </c>
      <c r="K28" s="46">
        <v>3.2</v>
      </c>
      <c r="L28" s="44">
        <v>21</v>
      </c>
      <c r="M28" s="44">
        <v>151</v>
      </c>
      <c r="N28" s="22"/>
      <c r="Q28" s="8"/>
      <c r="R28" s="8"/>
      <c r="S28" s="8"/>
      <c r="V28" s="5"/>
      <c r="W28" s="6"/>
      <c r="X28" s="6"/>
      <c r="Y28" s="6"/>
      <c r="Z28" s="6"/>
      <c r="AA28" s="12"/>
      <c r="AB28" s="5"/>
      <c r="AC28" s="7"/>
      <c r="AD28" s="5"/>
      <c r="AE28" s="5"/>
    </row>
    <row r="29" spans="1:31">
      <c r="A29" s="4">
        <f t="shared" si="0"/>
        <v>28</v>
      </c>
      <c r="B29" s="23">
        <v>2.5499999999999998</v>
      </c>
      <c r="C29" s="23">
        <v>0.375</v>
      </c>
      <c r="D29" s="23">
        <v>10.64</v>
      </c>
      <c r="E29" s="23">
        <v>21.04</v>
      </c>
      <c r="F29" s="43">
        <v>0.45361886035165244</v>
      </c>
      <c r="G29" s="44">
        <v>6.2</v>
      </c>
      <c r="H29" s="44">
        <v>6.5000000000000002E-2</v>
      </c>
      <c r="I29" s="45">
        <v>780</v>
      </c>
      <c r="J29" s="45">
        <v>130</v>
      </c>
      <c r="K29" s="46">
        <v>3.2</v>
      </c>
      <c r="L29" s="44">
        <v>21</v>
      </c>
      <c r="M29" s="44">
        <v>151</v>
      </c>
      <c r="N29" s="22"/>
      <c r="Q29" s="8"/>
      <c r="R29" s="8"/>
      <c r="S29" s="8"/>
      <c r="V29" s="5"/>
      <c r="W29" s="6"/>
      <c r="X29" s="6"/>
      <c r="Y29" s="6"/>
      <c r="Z29" s="6"/>
      <c r="AA29" s="12"/>
      <c r="AB29" s="5"/>
      <c r="AC29" s="7"/>
      <c r="AD29" s="5"/>
      <c r="AE29" s="5"/>
    </row>
    <row r="30" spans="1:31">
      <c r="A30" s="4">
        <f t="shared" si="0"/>
        <v>29</v>
      </c>
      <c r="B30" s="23">
        <v>1.78</v>
      </c>
      <c r="C30" s="23">
        <v>0.375</v>
      </c>
      <c r="D30" s="23">
        <v>7.7</v>
      </c>
      <c r="E30" s="23">
        <v>22.69</v>
      </c>
      <c r="F30" s="43">
        <v>0.39802071910112358</v>
      </c>
      <c r="G30" s="44">
        <v>6.2</v>
      </c>
      <c r="H30" s="44">
        <v>6.5000000000000002E-2</v>
      </c>
      <c r="I30" s="45">
        <v>780</v>
      </c>
      <c r="J30" s="45">
        <v>130</v>
      </c>
      <c r="K30" s="46">
        <v>3.2</v>
      </c>
      <c r="L30" s="44">
        <v>21</v>
      </c>
      <c r="M30" s="44">
        <v>151</v>
      </c>
      <c r="N30" s="22"/>
      <c r="Q30" s="8"/>
      <c r="R30" s="8"/>
      <c r="S30" s="8"/>
      <c r="V30" s="5"/>
      <c r="W30" s="6"/>
      <c r="X30" s="6"/>
      <c r="Y30" s="6"/>
      <c r="Z30" s="6"/>
      <c r="AA30" s="12"/>
      <c r="AB30" s="5"/>
      <c r="AC30" s="7"/>
      <c r="AD30" s="5"/>
      <c r="AE30" s="5"/>
    </row>
    <row r="31" spans="1:31">
      <c r="A31" s="4">
        <f t="shared" si="0"/>
        <v>30</v>
      </c>
      <c r="B31" s="23">
        <v>2.65</v>
      </c>
      <c r="C31" s="23">
        <v>0.375</v>
      </c>
      <c r="D31" s="23">
        <v>5.03</v>
      </c>
      <c r="E31" s="23">
        <v>16.54</v>
      </c>
      <c r="F31" s="43">
        <v>0.23276000000000002</v>
      </c>
      <c r="G31" s="44">
        <v>6.2</v>
      </c>
      <c r="H31" s="44">
        <v>6.5000000000000002E-2</v>
      </c>
      <c r="I31" s="45">
        <v>780</v>
      </c>
      <c r="J31" s="45">
        <v>130</v>
      </c>
      <c r="K31" s="46">
        <v>3.2</v>
      </c>
      <c r="L31" s="44">
        <v>21</v>
      </c>
      <c r="M31" s="44">
        <v>152</v>
      </c>
      <c r="N31" s="22"/>
      <c r="Q31" s="8"/>
      <c r="R31" s="8"/>
      <c r="S31" s="8"/>
      <c r="V31" s="5"/>
      <c r="W31" s="6"/>
      <c r="X31" s="6"/>
      <c r="Y31" s="6"/>
      <c r="Z31" s="6"/>
      <c r="AA31" s="12"/>
      <c r="AB31" s="5"/>
      <c r="AC31" s="7"/>
      <c r="AD31" s="5"/>
      <c r="AE31" s="5"/>
    </row>
    <row r="32" spans="1:31">
      <c r="A32" s="4">
        <f t="shared" si="0"/>
        <v>31</v>
      </c>
      <c r="B32" s="23">
        <v>1.7</v>
      </c>
      <c r="C32" s="23">
        <v>0.47499999999999998</v>
      </c>
      <c r="D32" s="23">
        <v>0.91</v>
      </c>
      <c r="E32" s="23">
        <v>10.74</v>
      </c>
      <c r="F32" s="43">
        <v>0.40797110216718258</v>
      </c>
      <c r="G32" s="44">
        <v>6.2</v>
      </c>
      <c r="H32" s="44">
        <v>6.5000000000000002E-2</v>
      </c>
      <c r="I32" s="45">
        <v>780</v>
      </c>
      <c r="J32" s="45">
        <v>130</v>
      </c>
      <c r="K32" s="46">
        <v>3.2</v>
      </c>
      <c r="L32" s="44">
        <v>21</v>
      </c>
      <c r="M32" s="44">
        <v>129</v>
      </c>
      <c r="N32" s="22"/>
      <c r="Q32" s="8"/>
      <c r="R32" s="8"/>
      <c r="S32" s="8"/>
      <c r="V32" s="5"/>
      <c r="W32" s="6"/>
      <c r="X32" s="6"/>
      <c r="Y32" s="6"/>
      <c r="Z32" s="6"/>
      <c r="AA32" s="12"/>
      <c r="AB32" s="5"/>
      <c r="AC32" s="7"/>
      <c r="AD32" s="5"/>
      <c r="AE32" s="5"/>
    </row>
    <row r="33" spans="1:31">
      <c r="A33" s="4">
        <f t="shared" si="0"/>
        <v>32</v>
      </c>
      <c r="B33" s="23">
        <v>2</v>
      </c>
      <c r="C33" s="23">
        <v>0.47499999999999998</v>
      </c>
      <c r="D33" s="23">
        <v>2.69</v>
      </c>
      <c r="E33" s="23">
        <v>8.51</v>
      </c>
      <c r="F33" s="43">
        <v>0.39652122210526314</v>
      </c>
      <c r="G33" s="44">
        <v>6.2</v>
      </c>
      <c r="H33" s="44">
        <v>6.5000000000000002E-2</v>
      </c>
      <c r="I33" s="45">
        <v>780</v>
      </c>
      <c r="J33" s="45">
        <v>130</v>
      </c>
      <c r="K33" s="46">
        <v>3.2</v>
      </c>
      <c r="L33" s="44">
        <v>21</v>
      </c>
      <c r="M33" s="44">
        <v>129</v>
      </c>
      <c r="N33" s="22"/>
      <c r="Q33" s="8"/>
      <c r="R33" s="8"/>
      <c r="S33" s="8"/>
      <c r="T33" s="2"/>
      <c r="U33" s="2"/>
      <c r="V33" s="5"/>
      <c r="W33" s="6"/>
      <c r="X33" s="6"/>
      <c r="Y33" s="6"/>
      <c r="Z33" s="6"/>
      <c r="AA33" s="12"/>
      <c r="AB33" s="5"/>
      <c r="AC33" s="7"/>
      <c r="AD33" s="5"/>
      <c r="AE33" s="5"/>
    </row>
    <row r="34" spans="1:31">
      <c r="A34" s="4">
        <f t="shared" si="0"/>
        <v>33</v>
      </c>
      <c r="B34" s="23">
        <v>2.5499999999999998</v>
      </c>
      <c r="C34" s="23">
        <v>0.45</v>
      </c>
      <c r="D34" s="23">
        <v>20.61</v>
      </c>
      <c r="E34" s="23">
        <v>12.18</v>
      </c>
      <c r="F34" s="43">
        <v>0.55934332231769135</v>
      </c>
      <c r="G34" s="44">
        <v>6.2</v>
      </c>
      <c r="H34" s="44">
        <v>6.5000000000000002E-2</v>
      </c>
      <c r="I34" s="45">
        <v>780</v>
      </c>
      <c r="J34" s="45">
        <v>130</v>
      </c>
      <c r="K34" s="46">
        <v>3.2</v>
      </c>
      <c r="L34" s="44">
        <v>21</v>
      </c>
      <c r="M34" s="44">
        <v>61</v>
      </c>
      <c r="N34" s="22"/>
      <c r="Q34" s="8"/>
      <c r="R34" s="8"/>
      <c r="S34" s="8"/>
      <c r="T34" s="2"/>
      <c r="U34" s="2"/>
      <c r="V34" s="5"/>
      <c r="W34" s="6"/>
      <c r="X34" s="6"/>
      <c r="Y34" s="6"/>
      <c r="Z34" s="6"/>
      <c r="AA34" s="12"/>
      <c r="AB34" s="5"/>
      <c r="AC34" s="7"/>
      <c r="AD34" s="5"/>
      <c r="AE34" s="5"/>
    </row>
    <row r="35" spans="1:31">
      <c r="A35" s="4">
        <f t="shared" si="0"/>
        <v>34</v>
      </c>
      <c r="B35" s="23">
        <v>2.86</v>
      </c>
      <c r="C35" s="23">
        <v>0.375</v>
      </c>
      <c r="D35" s="23">
        <v>9.8000000000000007</v>
      </c>
      <c r="E35" s="23">
        <v>13.94</v>
      </c>
      <c r="F35" s="43">
        <v>0.2733468323797415</v>
      </c>
      <c r="G35" s="44">
        <v>6.2</v>
      </c>
      <c r="H35" s="44">
        <v>6.5000000000000002E-2</v>
      </c>
      <c r="I35" s="45">
        <v>780</v>
      </c>
      <c r="J35" s="45">
        <v>130</v>
      </c>
      <c r="K35" s="46">
        <v>3.2</v>
      </c>
      <c r="L35" s="44">
        <v>21</v>
      </c>
      <c r="M35" s="44">
        <v>152</v>
      </c>
      <c r="N35" s="22"/>
      <c r="Q35" s="8"/>
      <c r="R35" s="8"/>
      <c r="S35" s="8"/>
      <c r="T35" s="2"/>
      <c r="U35" s="2"/>
      <c r="V35" s="5"/>
      <c r="W35" s="6"/>
      <c r="X35" s="6"/>
      <c r="Y35" s="6"/>
      <c r="Z35" s="6"/>
      <c r="AA35" s="12"/>
      <c r="AB35" s="5"/>
      <c r="AC35" s="7"/>
      <c r="AD35" s="5"/>
      <c r="AE35" s="5"/>
    </row>
    <row r="36" spans="1:31">
      <c r="A36" s="4">
        <f t="shared" si="0"/>
        <v>35</v>
      </c>
      <c r="B36" s="23">
        <v>1.04</v>
      </c>
      <c r="C36" s="23">
        <v>0.155</v>
      </c>
      <c r="D36" s="23">
        <v>12.5</v>
      </c>
      <c r="E36" s="23">
        <v>13.74</v>
      </c>
      <c r="F36" s="43">
        <v>0.58268307662290886</v>
      </c>
      <c r="G36" s="44">
        <v>6.2</v>
      </c>
      <c r="H36" s="44">
        <v>6.3E-2</v>
      </c>
      <c r="I36" s="45">
        <v>756</v>
      </c>
      <c r="J36" s="45">
        <v>126</v>
      </c>
      <c r="K36" s="46">
        <v>2.41</v>
      </c>
      <c r="L36" s="44">
        <v>18</v>
      </c>
      <c r="M36" s="44">
        <v>150</v>
      </c>
      <c r="N36" s="22"/>
      <c r="Q36" s="8"/>
      <c r="R36" s="8"/>
      <c r="S36" s="8"/>
      <c r="T36" s="2"/>
      <c r="U36" s="2"/>
      <c r="V36" s="5"/>
      <c r="W36" s="6"/>
      <c r="X36" s="6"/>
      <c r="Y36" s="6"/>
      <c r="Z36" s="6"/>
      <c r="AA36" s="12"/>
      <c r="AB36" s="5"/>
      <c r="AC36" s="7"/>
      <c r="AD36" s="5"/>
      <c r="AE36" s="5"/>
    </row>
    <row r="37" spans="1:31">
      <c r="A37" s="4">
        <f t="shared" si="0"/>
        <v>36</v>
      </c>
      <c r="B37" s="23">
        <v>1.57</v>
      </c>
      <c r="C37" s="23">
        <v>0.155</v>
      </c>
      <c r="D37" s="23">
        <v>10.8</v>
      </c>
      <c r="E37" s="23">
        <v>10.029999999999999</v>
      </c>
      <c r="F37" s="43">
        <v>0.43209169694519384</v>
      </c>
      <c r="G37" s="44">
        <v>6.2</v>
      </c>
      <c r="H37" s="44">
        <v>6.3E-2</v>
      </c>
      <c r="I37" s="45">
        <v>756</v>
      </c>
      <c r="J37" s="45">
        <v>126</v>
      </c>
      <c r="K37" s="46">
        <v>2.41</v>
      </c>
      <c r="L37" s="44">
        <v>18</v>
      </c>
      <c r="M37" s="44">
        <v>151</v>
      </c>
      <c r="N37" s="22"/>
      <c r="Q37" s="8"/>
      <c r="R37" s="8"/>
      <c r="S37" s="8"/>
      <c r="T37" s="2"/>
      <c r="U37" s="2"/>
      <c r="V37" s="5"/>
      <c r="W37" s="6"/>
      <c r="X37" s="6"/>
      <c r="Y37" s="6"/>
      <c r="Z37" s="6"/>
      <c r="AA37" s="12"/>
      <c r="AB37" s="5"/>
      <c r="AC37" s="7"/>
      <c r="AD37" s="5"/>
      <c r="AE37" s="5"/>
    </row>
    <row r="38" spans="1:31">
      <c r="A38" s="4">
        <f t="shared" si="0"/>
        <v>37</v>
      </c>
      <c r="B38" s="23">
        <v>1.62</v>
      </c>
      <c r="C38" s="23">
        <v>0.155</v>
      </c>
      <c r="D38" s="23">
        <v>15.15</v>
      </c>
      <c r="E38" s="23">
        <v>7.57</v>
      </c>
      <c r="F38" s="43">
        <v>0.28499022301871768</v>
      </c>
      <c r="G38" s="44">
        <v>6.2</v>
      </c>
      <c r="H38" s="44">
        <v>6.3E-2</v>
      </c>
      <c r="I38" s="45">
        <v>756</v>
      </c>
      <c r="J38" s="45">
        <v>126</v>
      </c>
      <c r="K38" s="46">
        <v>2.41</v>
      </c>
      <c r="L38" s="44">
        <v>18</v>
      </c>
      <c r="M38" s="44">
        <v>151</v>
      </c>
      <c r="N38" s="22"/>
      <c r="Q38" s="8"/>
      <c r="R38" s="8"/>
      <c r="S38" s="8"/>
      <c r="T38" s="2"/>
      <c r="U38" s="2"/>
      <c r="V38" s="5"/>
      <c r="W38" s="6"/>
      <c r="X38" s="6"/>
      <c r="Y38" s="6"/>
      <c r="Z38" s="6"/>
      <c r="AA38" s="12"/>
      <c r="AB38" s="5"/>
      <c r="AC38" s="7"/>
      <c r="AD38" s="5"/>
      <c r="AE38" s="5"/>
    </row>
    <row r="39" spans="1:31">
      <c r="A39" s="4">
        <f t="shared" si="0"/>
        <v>38</v>
      </c>
      <c r="B39" s="23">
        <v>1.1200000000000001</v>
      </c>
      <c r="C39" s="23">
        <v>0.44499999999999995</v>
      </c>
      <c r="D39" s="23">
        <v>19.73</v>
      </c>
      <c r="E39" s="23">
        <v>10.66</v>
      </c>
      <c r="F39" s="43">
        <v>0.30550605939004821</v>
      </c>
      <c r="G39" s="44">
        <v>6.2</v>
      </c>
      <c r="H39" s="44">
        <v>6.5000000000000002E-2</v>
      </c>
      <c r="I39" s="45">
        <v>780</v>
      </c>
      <c r="J39" s="45">
        <v>130</v>
      </c>
      <c r="K39" s="46">
        <v>3.2</v>
      </c>
      <c r="L39" s="44">
        <v>21</v>
      </c>
      <c r="M39" s="44">
        <v>61</v>
      </c>
      <c r="N39" s="22"/>
      <c r="Q39" s="8"/>
      <c r="R39" s="8"/>
      <c r="S39" s="8"/>
      <c r="T39" s="2"/>
      <c r="U39" s="2"/>
      <c r="V39" s="5"/>
      <c r="W39" s="6"/>
      <c r="X39" s="6"/>
      <c r="Y39" s="6"/>
      <c r="Z39" s="6"/>
      <c r="AA39" s="12"/>
      <c r="AB39" s="5"/>
      <c r="AC39" s="7"/>
      <c r="AD39" s="5"/>
      <c r="AE39" s="5"/>
    </row>
    <row r="40" spans="1:31">
      <c r="A40" s="4">
        <f t="shared" si="0"/>
        <v>39</v>
      </c>
      <c r="B40" s="23">
        <v>1</v>
      </c>
      <c r="C40" s="23">
        <v>0.32499999999999996</v>
      </c>
      <c r="D40" s="23">
        <v>15.76</v>
      </c>
      <c r="E40" s="23">
        <v>11.57</v>
      </c>
      <c r="F40" s="43">
        <v>0.17337198769230774</v>
      </c>
      <c r="G40" s="44">
        <v>6.2</v>
      </c>
      <c r="H40" s="44">
        <v>6.5000000000000002E-2</v>
      </c>
      <c r="I40" s="45">
        <v>780</v>
      </c>
      <c r="J40" s="45">
        <v>130</v>
      </c>
      <c r="K40" s="46">
        <v>3.2</v>
      </c>
      <c r="L40" s="44">
        <v>21</v>
      </c>
      <c r="M40" s="44">
        <v>61</v>
      </c>
      <c r="N40" s="22"/>
      <c r="Q40" s="8"/>
      <c r="R40" s="8"/>
      <c r="S40" s="8"/>
      <c r="T40" s="2"/>
      <c r="U40" s="2"/>
      <c r="V40" s="5"/>
      <c r="W40" s="6"/>
      <c r="X40" s="6"/>
      <c r="Y40" s="6"/>
      <c r="Z40" s="6"/>
      <c r="AA40" s="12"/>
      <c r="AB40" s="5"/>
      <c r="AC40" s="7"/>
      <c r="AD40" s="5"/>
      <c r="AE40" s="5"/>
    </row>
    <row r="41" spans="1:31">
      <c r="A41" s="4">
        <f t="shared" si="0"/>
        <v>40</v>
      </c>
      <c r="B41" s="23">
        <v>2.68</v>
      </c>
      <c r="C41" s="23">
        <v>0.155</v>
      </c>
      <c r="D41" s="23">
        <v>15.88</v>
      </c>
      <c r="E41" s="23">
        <v>11.86</v>
      </c>
      <c r="F41" s="43">
        <v>0.41263309786913493</v>
      </c>
      <c r="G41" s="44">
        <v>6.2</v>
      </c>
      <c r="H41" s="44">
        <v>6.3E-2</v>
      </c>
      <c r="I41" s="45">
        <v>756</v>
      </c>
      <c r="J41" s="45">
        <v>126</v>
      </c>
      <c r="K41" s="46">
        <v>2.41</v>
      </c>
      <c r="L41" s="44">
        <v>18</v>
      </c>
      <c r="M41" s="44">
        <v>150</v>
      </c>
      <c r="N41" s="22"/>
      <c r="Q41" s="8"/>
      <c r="R41" s="8"/>
      <c r="S41" s="8"/>
      <c r="T41" s="2"/>
      <c r="U41" s="2"/>
      <c r="V41" s="5"/>
      <c r="W41" s="6"/>
      <c r="X41" s="6"/>
      <c r="Y41" s="6"/>
      <c r="Z41" s="6"/>
      <c r="AA41" s="12"/>
      <c r="AB41" s="5"/>
      <c r="AC41" s="7"/>
      <c r="AD41" s="5"/>
      <c r="AE41" s="5"/>
    </row>
    <row r="42" spans="1:31">
      <c r="A42" s="4">
        <f t="shared" si="0"/>
        <v>41</v>
      </c>
      <c r="B42" s="23">
        <v>0.95</v>
      </c>
      <c r="C42" s="23">
        <v>0.155</v>
      </c>
      <c r="D42" s="23">
        <v>12.76</v>
      </c>
      <c r="E42" s="23">
        <v>8.92</v>
      </c>
      <c r="F42" s="43">
        <v>0.34939133753217599</v>
      </c>
      <c r="G42" s="44">
        <v>6.2</v>
      </c>
      <c r="H42" s="44">
        <v>6.3E-2</v>
      </c>
      <c r="I42" s="45">
        <v>756</v>
      </c>
      <c r="J42" s="45">
        <v>126</v>
      </c>
      <c r="K42" s="46">
        <v>2.41</v>
      </c>
      <c r="L42" s="44">
        <v>18</v>
      </c>
      <c r="M42" s="44">
        <v>151</v>
      </c>
      <c r="N42" s="22"/>
      <c r="Q42" s="8"/>
      <c r="R42" s="8"/>
      <c r="S42" s="8"/>
      <c r="T42" s="2"/>
      <c r="U42" s="2"/>
      <c r="V42" s="5"/>
      <c r="W42" s="6"/>
      <c r="X42" s="6"/>
      <c r="Y42" s="6"/>
      <c r="Z42" s="6"/>
      <c r="AA42" s="12"/>
      <c r="AB42" s="5"/>
      <c r="AC42" s="7"/>
      <c r="AD42" s="5"/>
      <c r="AE42" s="5"/>
    </row>
    <row r="43" spans="1:31" s="34" customFormat="1" ht="15" thickBot="1">
      <c r="A43" s="4">
        <f t="shared" si="0"/>
        <v>42</v>
      </c>
      <c r="B43" s="27">
        <v>1.52</v>
      </c>
      <c r="C43" s="27">
        <v>0.155</v>
      </c>
      <c r="D43" s="27">
        <v>13.85</v>
      </c>
      <c r="E43" s="27">
        <v>8.3000000000000007</v>
      </c>
      <c r="F43" s="47">
        <v>0.16641154499151106</v>
      </c>
      <c r="G43" s="48">
        <v>6.2</v>
      </c>
      <c r="H43" s="44">
        <v>6.3E-2</v>
      </c>
      <c r="I43" s="49">
        <v>756</v>
      </c>
      <c r="J43" s="49">
        <v>126</v>
      </c>
      <c r="K43" s="46">
        <v>2.41</v>
      </c>
      <c r="L43" s="48">
        <v>18</v>
      </c>
      <c r="M43" s="48">
        <v>151</v>
      </c>
      <c r="N43" s="28"/>
      <c r="O43"/>
      <c r="P43"/>
      <c r="Q43" s="8"/>
      <c r="R43" s="8"/>
      <c r="S43" s="8"/>
      <c r="T43" s="29"/>
      <c r="U43" s="29"/>
      <c r="V43" s="30"/>
      <c r="W43" s="31"/>
      <c r="X43" s="31"/>
      <c r="Y43" s="31"/>
      <c r="Z43" s="31"/>
      <c r="AA43" s="32"/>
      <c r="AB43" s="30"/>
      <c r="AC43" s="33"/>
      <c r="AD43" s="30"/>
      <c r="AE43" s="30"/>
    </row>
    <row r="44" spans="1:31">
      <c r="A44" s="4">
        <f t="shared" si="0"/>
        <v>43</v>
      </c>
      <c r="B44" s="26">
        <v>3.6</v>
      </c>
      <c r="C44" s="26">
        <v>0.46499999999999997</v>
      </c>
      <c r="D44" s="26">
        <v>20.51</v>
      </c>
      <c r="E44" s="26">
        <v>9.9499999999999993</v>
      </c>
      <c r="F44" s="50">
        <v>0.43663378136200715</v>
      </c>
      <c r="G44" s="51">
        <v>6.2</v>
      </c>
      <c r="H44" s="51">
        <v>6.5000000000000002E-2</v>
      </c>
      <c r="I44" s="52">
        <v>780</v>
      </c>
      <c r="J44" s="52">
        <v>130</v>
      </c>
      <c r="K44" s="53">
        <v>3.2</v>
      </c>
      <c r="L44" s="51">
        <v>21</v>
      </c>
      <c r="M44" s="51">
        <v>0</v>
      </c>
      <c r="N44" s="22"/>
      <c r="Q44" s="8"/>
      <c r="R44" s="8"/>
      <c r="S44" s="8"/>
      <c r="T44" s="2"/>
      <c r="U44" s="2"/>
      <c r="V44" s="5"/>
      <c r="W44" s="6"/>
      <c r="X44" s="6"/>
      <c r="Y44" s="6"/>
      <c r="Z44" s="6"/>
      <c r="AA44" s="12"/>
      <c r="AB44" s="5"/>
      <c r="AC44" s="7"/>
      <c r="AD44" s="5"/>
      <c r="AE44" s="5"/>
    </row>
    <row r="45" spans="1:31">
      <c r="A45" s="4">
        <f t="shared" si="0"/>
        <v>44</v>
      </c>
      <c r="B45" s="23">
        <v>1.35</v>
      </c>
      <c r="C45" s="23">
        <v>0.46499999999999997</v>
      </c>
      <c r="D45" s="23">
        <v>17.05</v>
      </c>
      <c r="E45" s="23">
        <v>4.72</v>
      </c>
      <c r="F45" s="43">
        <v>0.47168579052170445</v>
      </c>
      <c r="G45" s="44">
        <v>6.2</v>
      </c>
      <c r="H45" s="51">
        <v>6.5000000000000002E-2</v>
      </c>
      <c r="I45" s="45">
        <v>780</v>
      </c>
      <c r="J45" s="45">
        <v>130</v>
      </c>
      <c r="K45" s="53">
        <v>3.2</v>
      </c>
      <c r="L45" s="44">
        <v>21</v>
      </c>
      <c r="M45" s="51">
        <v>0</v>
      </c>
      <c r="N45" s="22"/>
      <c r="Q45" s="8"/>
      <c r="R45" s="8"/>
      <c r="S45" s="8"/>
      <c r="T45" s="2"/>
      <c r="U45" s="2"/>
      <c r="V45" s="5"/>
      <c r="W45" s="6"/>
      <c r="X45" s="6"/>
      <c r="Y45" s="6"/>
      <c r="Z45" s="6"/>
      <c r="AA45" s="12"/>
      <c r="AB45" s="5"/>
      <c r="AC45" s="7"/>
      <c r="AD45" s="5"/>
      <c r="AE45" s="5"/>
    </row>
    <row r="46" spans="1:31">
      <c r="A46" s="4">
        <f t="shared" si="0"/>
        <v>45</v>
      </c>
      <c r="B46" s="61">
        <v>3.38</v>
      </c>
      <c r="C46" s="61">
        <v>0.46499999999999997</v>
      </c>
      <c r="D46" s="61">
        <v>20.09</v>
      </c>
      <c r="E46" s="61">
        <v>4.51</v>
      </c>
      <c r="F46" s="62">
        <v>0.5964340751846674</v>
      </c>
      <c r="G46" s="44">
        <v>6.2</v>
      </c>
      <c r="H46" s="51">
        <v>6.5000000000000002E-2</v>
      </c>
      <c r="I46" s="45">
        <v>780</v>
      </c>
      <c r="J46" s="45">
        <v>130</v>
      </c>
      <c r="K46" s="53">
        <v>3.2</v>
      </c>
      <c r="L46" s="51">
        <v>21</v>
      </c>
      <c r="M46" s="51">
        <v>0</v>
      </c>
      <c r="N46" s="22"/>
      <c r="Q46" s="8"/>
      <c r="R46" s="8"/>
      <c r="S46" s="8"/>
      <c r="T46" s="2"/>
      <c r="U46" s="2"/>
      <c r="V46" s="5"/>
      <c r="W46" s="6"/>
      <c r="X46" s="6"/>
      <c r="Y46" s="6"/>
      <c r="Z46" s="6"/>
      <c r="AA46" s="12"/>
      <c r="AB46" s="5"/>
      <c r="AC46" s="7"/>
      <c r="AD46" s="5"/>
      <c r="AE46" s="5"/>
    </row>
    <row r="47" spans="1:31">
      <c r="A47" s="4">
        <f t="shared" si="0"/>
        <v>46</v>
      </c>
      <c r="B47" s="61">
        <v>1.22</v>
      </c>
      <c r="C47" s="61">
        <v>0.57999999999999996</v>
      </c>
      <c r="D47" s="61">
        <v>23.23</v>
      </c>
      <c r="E47" s="61">
        <v>0.93</v>
      </c>
      <c r="F47" s="62">
        <v>0.58689999999999998</v>
      </c>
      <c r="G47" s="44">
        <v>6.2</v>
      </c>
      <c r="H47" s="51">
        <v>6.5000000000000002E-2</v>
      </c>
      <c r="I47" s="45">
        <v>780</v>
      </c>
      <c r="J47" s="45">
        <v>130</v>
      </c>
      <c r="K47" s="53">
        <v>3.2</v>
      </c>
      <c r="L47" s="44">
        <v>21</v>
      </c>
      <c r="M47" s="44">
        <v>85</v>
      </c>
      <c r="N47" s="22"/>
      <c r="Q47" s="8"/>
      <c r="R47" s="8"/>
      <c r="S47" s="8"/>
      <c r="T47" s="2"/>
      <c r="U47" s="2"/>
      <c r="V47" s="5"/>
      <c r="W47" s="6"/>
      <c r="X47" s="6"/>
      <c r="Y47" s="6"/>
      <c r="Z47" s="6"/>
      <c r="AA47" s="12"/>
      <c r="AB47" s="5"/>
      <c r="AC47" s="7"/>
      <c r="AD47" s="5"/>
      <c r="AE47" s="5"/>
    </row>
    <row r="48" spans="1:31">
      <c r="A48" s="4">
        <f t="shared" si="0"/>
        <v>47</v>
      </c>
      <c r="B48" s="61">
        <v>1.68</v>
      </c>
      <c r="C48" s="61">
        <v>0.57999999999999996</v>
      </c>
      <c r="D48" s="61">
        <v>23.46</v>
      </c>
      <c r="E48" s="61">
        <v>3.67</v>
      </c>
      <c r="F48" s="62">
        <v>1.0088999999999999</v>
      </c>
      <c r="G48" s="44">
        <v>6.2</v>
      </c>
      <c r="H48" s="51">
        <v>6.5000000000000002E-2</v>
      </c>
      <c r="I48" s="45">
        <v>780</v>
      </c>
      <c r="J48" s="45">
        <v>130</v>
      </c>
      <c r="K48" s="53">
        <v>3.2</v>
      </c>
      <c r="L48" s="51">
        <v>21</v>
      </c>
      <c r="M48" s="44">
        <v>85</v>
      </c>
      <c r="N48" s="22"/>
      <c r="Q48" s="8"/>
      <c r="R48" s="8"/>
      <c r="S48" s="8"/>
      <c r="T48" s="2"/>
      <c r="U48" s="2"/>
      <c r="V48" s="5"/>
      <c r="W48" s="6"/>
      <c r="X48" s="6"/>
      <c r="Y48" s="6"/>
      <c r="Z48" s="6"/>
      <c r="AA48" s="12"/>
      <c r="AB48" s="5"/>
      <c r="AC48" s="7"/>
      <c r="AD48" s="5"/>
      <c r="AE48" s="5"/>
    </row>
    <row r="49" spans="1:31">
      <c r="A49" s="4">
        <f t="shared" si="0"/>
        <v>48</v>
      </c>
      <c r="B49" s="61">
        <v>1.9</v>
      </c>
      <c r="C49" s="61">
        <v>0.57999999999999996</v>
      </c>
      <c r="D49" s="61">
        <v>24.02</v>
      </c>
      <c r="E49" s="61">
        <v>10.41</v>
      </c>
      <c r="F49" s="62">
        <v>1.0141</v>
      </c>
      <c r="G49" s="44">
        <v>6.2</v>
      </c>
      <c r="H49" s="51">
        <v>6.5000000000000002E-2</v>
      </c>
      <c r="I49" s="45">
        <v>780</v>
      </c>
      <c r="J49" s="45">
        <v>130</v>
      </c>
      <c r="K49" s="53">
        <v>3.2</v>
      </c>
      <c r="L49" s="44">
        <v>21</v>
      </c>
      <c r="M49" s="44">
        <v>85</v>
      </c>
      <c r="N49" s="22"/>
      <c r="Q49" s="8"/>
      <c r="R49" s="8"/>
      <c r="S49" s="8"/>
      <c r="T49" s="2"/>
      <c r="U49" s="2"/>
      <c r="V49" s="5"/>
      <c r="W49" s="6"/>
      <c r="X49" s="6"/>
      <c r="Y49" s="6"/>
      <c r="Z49" s="6"/>
      <c r="AA49" s="12"/>
      <c r="AB49" s="5"/>
      <c r="AC49" s="7"/>
      <c r="AD49" s="5"/>
      <c r="AE49" s="5"/>
    </row>
    <row r="50" spans="1:31">
      <c r="A50" s="4">
        <f t="shared" si="0"/>
        <v>49</v>
      </c>
      <c r="B50" s="61">
        <v>1.75</v>
      </c>
      <c r="C50" s="61">
        <v>0.57999999999999996</v>
      </c>
      <c r="D50" s="61">
        <v>24.27</v>
      </c>
      <c r="E50" s="61">
        <v>13.43</v>
      </c>
      <c r="F50" s="62">
        <v>0.45429999999999998</v>
      </c>
      <c r="G50" s="44">
        <v>6.2</v>
      </c>
      <c r="H50" s="51">
        <v>6.5000000000000002E-2</v>
      </c>
      <c r="I50" s="45">
        <v>780</v>
      </c>
      <c r="J50" s="45">
        <v>130</v>
      </c>
      <c r="K50" s="53">
        <v>3.2</v>
      </c>
      <c r="L50" s="51">
        <v>21</v>
      </c>
      <c r="M50" s="44">
        <v>85</v>
      </c>
      <c r="N50" s="22"/>
      <c r="Q50" s="8"/>
      <c r="R50" s="8"/>
      <c r="S50" s="8"/>
      <c r="T50" s="2"/>
      <c r="U50" s="2"/>
      <c r="V50" s="5"/>
      <c r="W50" s="6"/>
      <c r="X50" s="6"/>
      <c r="Y50" s="6"/>
      <c r="Z50" s="6"/>
      <c r="AA50" s="12"/>
      <c r="AB50" s="5"/>
      <c r="AC50" s="7"/>
      <c r="AD50" s="5"/>
      <c r="AE50" s="5"/>
    </row>
    <row r="51" spans="1:31">
      <c r="A51" s="4">
        <f t="shared" si="0"/>
        <v>50</v>
      </c>
      <c r="B51" s="61">
        <v>1.65</v>
      </c>
      <c r="C51" s="61">
        <v>0.41499999999999998</v>
      </c>
      <c r="D51" s="61">
        <v>32.450000000000003</v>
      </c>
      <c r="E51" s="61">
        <v>1.1499999999999999</v>
      </c>
      <c r="F51" s="62">
        <v>0.48996917123037614</v>
      </c>
      <c r="G51" s="44">
        <v>6.2</v>
      </c>
      <c r="H51" s="51">
        <v>6.5000000000000002E-2</v>
      </c>
      <c r="I51" s="45">
        <v>780</v>
      </c>
      <c r="J51" s="45">
        <v>130</v>
      </c>
      <c r="K51" s="53">
        <v>3.2</v>
      </c>
      <c r="L51" s="44">
        <v>21</v>
      </c>
      <c r="M51" s="44">
        <v>85</v>
      </c>
      <c r="N51" s="22"/>
      <c r="Q51" s="8"/>
      <c r="R51" s="8"/>
      <c r="S51" s="8"/>
      <c r="T51" s="2"/>
      <c r="U51" s="2"/>
      <c r="V51" s="5"/>
      <c r="W51" s="6"/>
      <c r="X51" s="6"/>
      <c r="Y51" s="6"/>
      <c r="Z51" s="6"/>
      <c r="AA51" s="12"/>
      <c r="AB51" s="5"/>
      <c r="AC51" s="7"/>
      <c r="AD51" s="5"/>
      <c r="AE51" s="5"/>
    </row>
    <row r="52" spans="1:31">
      <c r="A52" s="4">
        <f t="shared" si="0"/>
        <v>51</v>
      </c>
      <c r="B52" s="23">
        <v>3</v>
      </c>
      <c r="C52" s="23">
        <v>0.41499999999999998</v>
      </c>
      <c r="D52" s="23">
        <v>32.64</v>
      </c>
      <c r="E52" s="23">
        <v>3.47</v>
      </c>
      <c r="F52" s="43">
        <v>0.56744883414622338</v>
      </c>
      <c r="G52" s="44">
        <v>6.2</v>
      </c>
      <c r="H52" s="51">
        <v>6.5000000000000002E-2</v>
      </c>
      <c r="I52" s="45">
        <v>780</v>
      </c>
      <c r="J52" s="45">
        <v>130</v>
      </c>
      <c r="K52" s="53">
        <v>3.2</v>
      </c>
      <c r="L52" s="51">
        <v>21</v>
      </c>
      <c r="M52" s="44">
        <v>85</v>
      </c>
      <c r="N52" s="22"/>
      <c r="Q52" s="8"/>
      <c r="R52" s="8"/>
      <c r="S52" s="8"/>
      <c r="T52" s="2"/>
      <c r="U52" s="2"/>
      <c r="V52" s="5"/>
      <c r="W52" s="6"/>
      <c r="X52" s="6"/>
      <c r="Y52" s="6"/>
      <c r="Z52" s="6"/>
      <c r="AA52" s="12"/>
      <c r="AB52" s="5"/>
      <c r="AC52" s="7"/>
      <c r="AD52" s="5"/>
      <c r="AE52" s="5"/>
    </row>
    <row r="53" spans="1:31">
      <c r="A53" s="4">
        <f t="shared" si="0"/>
        <v>52</v>
      </c>
      <c r="B53" s="23">
        <v>1.1100000000000001</v>
      </c>
      <c r="C53" s="23">
        <v>0.41499999999999998</v>
      </c>
      <c r="D53" s="23">
        <v>32.89</v>
      </c>
      <c r="E53" s="23">
        <v>6.42</v>
      </c>
      <c r="F53" s="43">
        <v>0.92315437213523577</v>
      </c>
      <c r="G53" s="44">
        <v>6.2</v>
      </c>
      <c r="H53" s="51">
        <v>6.5000000000000002E-2</v>
      </c>
      <c r="I53" s="45">
        <v>780</v>
      </c>
      <c r="J53" s="45">
        <v>130</v>
      </c>
      <c r="K53" s="53">
        <v>3.2</v>
      </c>
      <c r="L53" s="44">
        <v>21</v>
      </c>
      <c r="M53" s="44">
        <v>85</v>
      </c>
      <c r="N53" s="22"/>
      <c r="Q53" s="8"/>
      <c r="R53" s="8"/>
      <c r="S53" s="8"/>
      <c r="T53" s="2"/>
      <c r="U53" s="2"/>
      <c r="V53" s="5"/>
      <c r="W53" s="6"/>
      <c r="X53" s="6"/>
      <c r="Y53" s="6"/>
      <c r="Z53" s="6"/>
      <c r="AA53" s="12"/>
      <c r="AB53" s="5"/>
      <c r="AC53" s="7"/>
      <c r="AD53" s="5"/>
      <c r="AE53" s="5"/>
    </row>
    <row r="54" spans="1:31">
      <c r="A54" s="4">
        <f t="shared" si="0"/>
        <v>53</v>
      </c>
      <c r="B54" s="23">
        <v>2.76</v>
      </c>
      <c r="C54" s="23">
        <v>0.41499999999999998</v>
      </c>
      <c r="D54" s="23">
        <v>33.159999999999997</v>
      </c>
      <c r="E54" s="23">
        <v>9.59</v>
      </c>
      <c r="F54" s="43">
        <v>0.70466218528382807</v>
      </c>
      <c r="G54" s="44">
        <v>6.2</v>
      </c>
      <c r="H54" s="51">
        <v>6.5000000000000002E-2</v>
      </c>
      <c r="I54" s="45">
        <v>780</v>
      </c>
      <c r="J54" s="45">
        <v>130</v>
      </c>
      <c r="K54" s="53">
        <v>3.2</v>
      </c>
      <c r="L54" s="51">
        <v>21</v>
      </c>
      <c r="M54" s="44">
        <v>85</v>
      </c>
      <c r="N54" s="22"/>
      <c r="Q54" s="8"/>
      <c r="R54" s="8"/>
      <c r="S54" s="8"/>
      <c r="T54" s="2"/>
      <c r="U54" s="2"/>
      <c r="V54" s="5"/>
      <c r="W54" s="6"/>
      <c r="X54" s="6"/>
      <c r="Y54" s="6"/>
      <c r="Z54" s="6"/>
      <c r="AA54" s="12"/>
      <c r="AB54" s="5"/>
      <c r="AC54" s="7"/>
      <c r="AD54" s="5"/>
      <c r="AE54" s="5"/>
    </row>
    <row r="55" spans="1:31">
      <c r="A55" s="4">
        <f t="shared" si="0"/>
        <v>54</v>
      </c>
      <c r="B55" s="23">
        <v>1.72</v>
      </c>
      <c r="C55" s="23">
        <v>0.41499999999999998</v>
      </c>
      <c r="D55" s="23">
        <v>33.520000000000003</v>
      </c>
      <c r="E55" s="23">
        <v>13.87</v>
      </c>
      <c r="F55" s="43">
        <v>0.50282363827402632</v>
      </c>
      <c r="G55" s="44">
        <v>6.2</v>
      </c>
      <c r="H55" s="51">
        <v>6.5000000000000002E-2</v>
      </c>
      <c r="I55" s="45">
        <v>780</v>
      </c>
      <c r="J55" s="45">
        <v>130</v>
      </c>
      <c r="K55" s="53">
        <v>3.2</v>
      </c>
      <c r="L55" s="44">
        <v>21</v>
      </c>
      <c r="M55" s="44">
        <v>85</v>
      </c>
      <c r="N55" s="22"/>
      <c r="Q55" s="8"/>
      <c r="R55" s="8"/>
      <c r="S55" s="8"/>
    </row>
    <row r="56" spans="1:31">
      <c r="A56" s="4">
        <f t="shared" si="0"/>
        <v>55</v>
      </c>
      <c r="B56" s="23">
        <v>1.9</v>
      </c>
      <c r="C56" s="23">
        <v>0.30499999999999999</v>
      </c>
      <c r="D56" s="23">
        <v>36.9</v>
      </c>
      <c r="E56" s="23">
        <v>1.26</v>
      </c>
      <c r="F56" s="43">
        <v>0.6320556755823985</v>
      </c>
      <c r="G56" s="44">
        <v>6.2</v>
      </c>
      <c r="H56" s="51">
        <v>6.5000000000000002E-2</v>
      </c>
      <c r="I56" s="45">
        <v>780</v>
      </c>
      <c r="J56" s="45">
        <v>130</v>
      </c>
      <c r="K56" s="53">
        <v>3.2</v>
      </c>
      <c r="L56" s="51">
        <v>21</v>
      </c>
      <c r="M56" s="44">
        <v>85</v>
      </c>
      <c r="N56" s="22"/>
      <c r="Q56" s="8"/>
      <c r="R56" s="8"/>
      <c r="S56" s="8"/>
    </row>
    <row r="57" spans="1:31">
      <c r="A57" s="4">
        <f t="shared" si="0"/>
        <v>56</v>
      </c>
      <c r="B57" s="23">
        <v>3.48</v>
      </c>
      <c r="C57" s="23">
        <v>0.30499999999999999</v>
      </c>
      <c r="D57" s="23">
        <v>37.200000000000003</v>
      </c>
      <c r="E57" s="23">
        <v>4.79</v>
      </c>
      <c r="F57" s="43">
        <v>0.54533416807989465</v>
      </c>
      <c r="G57" s="44">
        <v>6.2</v>
      </c>
      <c r="H57" s="51">
        <v>6.5000000000000002E-2</v>
      </c>
      <c r="I57" s="45">
        <v>780</v>
      </c>
      <c r="J57" s="45">
        <v>130</v>
      </c>
      <c r="K57" s="53">
        <v>3.2</v>
      </c>
      <c r="L57" s="44">
        <v>21</v>
      </c>
      <c r="M57" s="44">
        <v>85</v>
      </c>
      <c r="N57" s="22"/>
      <c r="Q57" s="8"/>
      <c r="R57" s="8"/>
      <c r="S57" s="8"/>
    </row>
    <row r="58" spans="1:31">
      <c r="A58" s="4">
        <f t="shared" si="0"/>
        <v>57</v>
      </c>
      <c r="B58" s="23">
        <v>5.04</v>
      </c>
      <c r="C58" s="23">
        <v>0.13500000000000001</v>
      </c>
      <c r="D58" s="23">
        <v>39.29</v>
      </c>
      <c r="E58" s="23">
        <v>8.81</v>
      </c>
      <c r="F58" s="43">
        <v>0.66585363903586114</v>
      </c>
      <c r="G58" s="44">
        <v>6.2</v>
      </c>
      <c r="H58" s="51">
        <v>6.5000000000000002E-2</v>
      </c>
      <c r="I58" s="45">
        <v>780</v>
      </c>
      <c r="J58" s="45">
        <v>130</v>
      </c>
      <c r="K58" s="53">
        <v>3.2</v>
      </c>
      <c r="L58" s="44">
        <v>18</v>
      </c>
      <c r="M58" s="44">
        <v>85</v>
      </c>
      <c r="N58" s="22"/>
      <c r="Q58" s="8"/>
      <c r="R58" s="8"/>
      <c r="S58" s="8"/>
    </row>
    <row r="59" spans="1:31">
      <c r="A59" s="4">
        <f t="shared" si="0"/>
        <v>58</v>
      </c>
      <c r="B59" s="23">
        <v>1.97</v>
      </c>
      <c r="C59" s="23">
        <v>0.13500000000000001</v>
      </c>
      <c r="D59" s="23">
        <v>39.549999999999997</v>
      </c>
      <c r="E59" s="23">
        <v>12.3</v>
      </c>
      <c r="F59" s="43">
        <v>0.7686306711787928</v>
      </c>
      <c r="G59" s="44">
        <v>6.2</v>
      </c>
      <c r="H59" s="51">
        <v>6.5000000000000002E-2</v>
      </c>
      <c r="I59" s="45">
        <v>780</v>
      </c>
      <c r="J59" s="45">
        <v>130</v>
      </c>
      <c r="K59" s="53">
        <v>3.2</v>
      </c>
      <c r="L59" s="44">
        <v>18</v>
      </c>
      <c r="M59" s="44">
        <v>85</v>
      </c>
      <c r="N59" s="22"/>
      <c r="Q59" s="8"/>
      <c r="R59" s="8"/>
      <c r="S59" s="8"/>
    </row>
    <row r="60" spans="1:31">
      <c r="A60" s="4">
        <f t="shared" si="0"/>
        <v>59</v>
      </c>
      <c r="B60" s="23">
        <v>0.57499999999999996</v>
      </c>
      <c r="C60" s="23">
        <v>0.35</v>
      </c>
      <c r="D60" s="23">
        <v>42.47</v>
      </c>
      <c r="E60" s="23">
        <v>14.85</v>
      </c>
      <c r="F60" s="43">
        <v>0.85863470234113703</v>
      </c>
      <c r="G60" s="44">
        <v>6.2</v>
      </c>
      <c r="H60" s="44">
        <v>6.3E-2</v>
      </c>
      <c r="I60" s="45">
        <v>756</v>
      </c>
      <c r="J60" s="45">
        <v>126</v>
      </c>
      <c r="K60" s="46">
        <v>2.41</v>
      </c>
      <c r="L60" s="44">
        <v>21</v>
      </c>
      <c r="M60" s="44">
        <v>127</v>
      </c>
      <c r="N60" s="22"/>
      <c r="Q60" s="8"/>
      <c r="R60" s="8"/>
      <c r="S60" s="8"/>
    </row>
    <row r="61" spans="1:31">
      <c r="A61" s="4">
        <f t="shared" si="0"/>
        <v>60</v>
      </c>
      <c r="B61" s="23">
        <v>3.42</v>
      </c>
      <c r="C61" s="23">
        <v>0.57499999999999996</v>
      </c>
      <c r="D61" s="23">
        <v>44.26</v>
      </c>
      <c r="E61" s="23">
        <v>12.42</v>
      </c>
      <c r="F61" s="43">
        <v>0.4713537665121556</v>
      </c>
      <c r="G61" s="44">
        <v>6.2</v>
      </c>
      <c r="H61" s="44">
        <v>6.3E-2</v>
      </c>
      <c r="I61" s="45">
        <v>756</v>
      </c>
      <c r="J61" s="45">
        <v>126</v>
      </c>
      <c r="K61" s="46">
        <v>2.41</v>
      </c>
      <c r="L61" s="44">
        <v>21</v>
      </c>
      <c r="M61" s="44">
        <v>127</v>
      </c>
      <c r="N61" s="22"/>
      <c r="Q61" s="8"/>
      <c r="R61" s="8"/>
      <c r="S61" s="8"/>
    </row>
    <row r="62" spans="1:31">
      <c r="A62" s="4">
        <f t="shared" si="0"/>
        <v>61</v>
      </c>
      <c r="B62" s="23">
        <v>0.82</v>
      </c>
      <c r="C62" s="23">
        <v>0.57499999999999996</v>
      </c>
      <c r="D62" s="23">
        <v>46.21</v>
      </c>
      <c r="E62" s="23">
        <v>9.75</v>
      </c>
      <c r="F62" s="43">
        <v>0.47855401908801698</v>
      </c>
      <c r="G62" s="44">
        <v>6.2</v>
      </c>
      <c r="H62" s="44">
        <v>6.5000000000000002E-2</v>
      </c>
      <c r="I62" s="45">
        <v>780</v>
      </c>
      <c r="J62" s="45">
        <v>130</v>
      </c>
      <c r="K62" s="46">
        <v>3.2</v>
      </c>
      <c r="L62" s="44">
        <v>21</v>
      </c>
      <c r="M62" s="44">
        <v>127</v>
      </c>
      <c r="N62" s="22"/>
      <c r="Q62" s="8"/>
      <c r="R62" s="8"/>
      <c r="S62" s="8"/>
    </row>
    <row r="63" spans="1:31">
      <c r="A63" s="4">
        <f t="shared" si="0"/>
        <v>62</v>
      </c>
      <c r="B63" s="23">
        <v>2.57</v>
      </c>
      <c r="C63" s="23">
        <v>0.69499999999999995</v>
      </c>
      <c r="D63" s="23">
        <v>15.47</v>
      </c>
      <c r="E63" s="23">
        <v>0</v>
      </c>
      <c r="F63" s="43">
        <v>0.44767742910729796</v>
      </c>
      <c r="G63" s="44">
        <v>6.2</v>
      </c>
      <c r="H63" s="44">
        <v>6.5000000000000002E-2</v>
      </c>
      <c r="I63" s="45">
        <v>780</v>
      </c>
      <c r="J63" s="45">
        <v>130</v>
      </c>
      <c r="K63" s="46">
        <v>3.2</v>
      </c>
      <c r="L63" s="44">
        <v>21</v>
      </c>
      <c r="M63" s="44">
        <v>0</v>
      </c>
      <c r="N63" s="22"/>
      <c r="Q63" s="8"/>
      <c r="R63" s="8"/>
      <c r="S63" s="8"/>
    </row>
    <row r="64" spans="1:31">
      <c r="A64" s="4">
        <f t="shared" si="0"/>
        <v>63</v>
      </c>
      <c r="B64" s="23">
        <v>2.92</v>
      </c>
      <c r="C64" s="23">
        <v>0.69499999999999995</v>
      </c>
      <c r="D64" s="23">
        <v>19.489999999999998</v>
      </c>
      <c r="E64" s="23">
        <v>0</v>
      </c>
      <c r="F64" s="43">
        <v>0.47829290923425638</v>
      </c>
      <c r="G64" s="44">
        <v>6.2</v>
      </c>
      <c r="H64" s="44">
        <v>6.5000000000000002E-2</v>
      </c>
      <c r="I64" s="45">
        <v>780</v>
      </c>
      <c r="J64" s="45">
        <v>130</v>
      </c>
      <c r="K64" s="46">
        <v>3.2</v>
      </c>
      <c r="L64" s="44">
        <v>21</v>
      </c>
      <c r="M64" s="44">
        <v>0</v>
      </c>
      <c r="N64" s="22"/>
      <c r="Q64" s="8"/>
      <c r="R64" s="8"/>
      <c r="S64" s="8"/>
    </row>
    <row r="65" spans="1:19">
      <c r="A65" s="4">
        <f t="shared" si="0"/>
        <v>64</v>
      </c>
      <c r="B65" s="23">
        <v>2.12</v>
      </c>
      <c r="C65" s="23">
        <v>0.69499999999999995</v>
      </c>
      <c r="D65" s="23">
        <v>23.34</v>
      </c>
      <c r="E65" s="23">
        <v>0</v>
      </c>
      <c r="F65" s="43">
        <v>0.55708133229265644</v>
      </c>
      <c r="G65" s="44">
        <v>6.2</v>
      </c>
      <c r="H65" s="44">
        <v>6.5000000000000002E-2</v>
      </c>
      <c r="I65" s="45">
        <v>780</v>
      </c>
      <c r="J65" s="45">
        <v>130</v>
      </c>
      <c r="K65" s="46">
        <v>3.2</v>
      </c>
      <c r="L65" s="44">
        <v>21</v>
      </c>
      <c r="M65" s="44">
        <v>0</v>
      </c>
      <c r="N65" s="22"/>
      <c r="Q65" s="8"/>
      <c r="R65" s="8"/>
      <c r="S65" s="8"/>
    </row>
    <row r="66" spans="1:19">
      <c r="A66" s="4">
        <f t="shared" si="0"/>
        <v>65</v>
      </c>
      <c r="B66" s="23">
        <v>2.12</v>
      </c>
      <c r="C66" s="23">
        <v>0.69499999999999995</v>
      </c>
      <c r="D66" s="23">
        <v>27.86</v>
      </c>
      <c r="E66" s="23">
        <v>0</v>
      </c>
      <c r="F66" s="43">
        <v>0.54522954391204015</v>
      </c>
      <c r="G66" s="44">
        <v>6.2</v>
      </c>
      <c r="H66" s="44">
        <v>6.5000000000000002E-2</v>
      </c>
      <c r="I66" s="45">
        <v>780</v>
      </c>
      <c r="J66" s="45">
        <v>130</v>
      </c>
      <c r="K66" s="46">
        <v>3.2</v>
      </c>
      <c r="L66" s="44">
        <v>21</v>
      </c>
      <c r="M66" s="44">
        <v>0</v>
      </c>
      <c r="N66" s="22"/>
      <c r="Q66" s="8"/>
      <c r="R66" s="8"/>
      <c r="S66" s="8"/>
    </row>
    <row r="67" spans="1:19">
      <c r="A67" s="4">
        <f t="shared" si="0"/>
        <v>66</v>
      </c>
      <c r="B67" s="23">
        <v>3</v>
      </c>
      <c r="C67" s="23">
        <v>0.69499999999999995</v>
      </c>
      <c r="D67" s="23">
        <v>31.73</v>
      </c>
      <c r="E67" s="23">
        <v>0</v>
      </c>
      <c r="F67" s="43">
        <v>0.44716647482014388</v>
      </c>
      <c r="G67" s="44">
        <v>6.2</v>
      </c>
      <c r="H67" s="44">
        <v>6.5000000000000002E-2</v>
      </c>
      <c r="I67" s="45">
        <v>780</v>
      </c>
      <c r="J67" s="45">
        <v>130</v>
      </c>
      <c r="K67" s="46">
        <v>3.2</v>
      </c>
      <c r="L67" s="44">
        <v>21</v>
      </c>
      <c r="M67" s="44">
        <v>0</v>
      </c>
      <c r="N67" s="22"/>
      <c r="Q67" s="8"/>
      <c r="R67" s="8"/>
      <c r="S67" s="8"/>
    </row>
    <row r="68" spans="1:19">
      <c r="A68" s="4">
        <f t="shared" si="0"/>
        <v>67</v>
      </c>
      <c r="B68" s="23">
        <v>2.89</v>
      </c>
      <c r="C68" s="23">
        <v>0.69499999999999995</v>
      </c>
      <c r="D68" s="23">
        <v>35.97</v>
      </c>
      <c r="E68" s="23">
        <v>0</v>
      </c>
      <c r="F68" s="43">
        <v>0.41962619800353479</v>
      </c>
      <c r="G68" s="44">
        <v>6.2</v>
      </c>
      <c r="H68" s="44">
        <v>6.5000000000000002E-2</v>
      </c>
      <c r="I68" s="45">
        <v>780</v>
      </c>
      <c r="J68" s="45">
        <v>130</v>
      </c>
      <c r="K68" s="46">
        <v>3.2</v>
      </c>
      <c r="L68" s="44">
        <v>21</v>
      </c>
      <c r="M68" s="44">
        <v>0</v>
      </c>
      <c r="N68" s="22"/>
      <c r="Q68" s="8"/>
      <c r="R68" s="8"/>
      <c r="S68" s="8"/>
    </row>
    <row r="69" spans="1:19">
      <c r="A69" s="4">
        <f t="shared" si="0"/>
        <v>68</v>
      </c>
      <c r="B69" s="23">
        <v>2.2400000000000002</v>
      </c>
      <c r="C69" s="23">
        <v>0.60499999999999998</v>
      </c>
      <c r="D69" s="23">
        <v>37.840000000000003</v>
      </c>
      <c r="E69" s="23">
        <v>1.39</v>
      </c>
      <c r="F69" s="43">
        <v>0.44251934917355373</v>
      </c>
      <c r="G69" s="44">
        <v>6.2</v>
      </c>
      <c r="H69" s="44">
        <v>6.5000000000000002E-2</v>
      </c>
      <c r="I69" s="45">
        <v>780</v>
      </c>
      <c r="J69" s="45">
        <v>130</v>
      </c>
      <c r="K69" s="46">
        <v>3.2</v>
      </c>
      <c r="L69" s="44">
        <v>21</v>
      </c>
      <c r="M69" s="44">
        <v>42</v>
      </c>
      <c r="N69" s="22"/>
      <c r="Q69" s="8"/>
      <c r="R69" s="8"/>
      <c r="S69" s="8"/>
    </row>
    <row r="70" spans="1:19">
      <c r="A70" s="4">
        <f t="shared" ref="A70:A124" si="1">A69+1</f>
        <v>69</v>
      </c>
      <c r="B70" s="23">
        <v>2.15</v>
      </c>
      <c r="C70" s="23">
        <v>0.60499999999999998</v>
      </c>
      <c r="D70" s="23">
        <v>40.44</v>
      </c>
      <c r="E70" s="23">
        <v>3.74</v>
      </c>
      <c r="F70" s="43">
        <v>0.49300182356332894</v>
      </c>
      <c r="G70" s="44">
        <v>6.2</v>
      </c>
      <c r="H70" s="44">
        <v>6.5000000000000002E-2</v>
      </c>
      <c r="I70" s="45">
        <v>780</v>
      </c>
      <c r="J70" s="45">
        <v>130</v>
      </c>
      <c r="K70" s="46">
        <v>3.2</v>
      </c>
      <c r="L70" s="44">
        <v>21</v>
      </c>
      <c r="M70" s="44">
        <v>42</v>
      </c>
      <c r="N70" s="22"/>
      <c r="Q70" s="8"/>
      <c r="R70" s="8"/>
      <c r="S70" s="8"/>
    </row>
    <row r="71" spans="1:19">
      <c r="A71" s="4">
        <f t="shared" si="1"/>
        <v>70</v>
      </c>
      <c r="B71" s="23">
        <v>2.4700000000000002</v>
      </c>
      <c r="C71" s="23">
        <v>0.60499999999999998</v>
      </c>
      <c r="D71" s="23">
        <v>43.12</v>
      </c>
      <c r="E71" s="23">
        <v>6.16</v>
      </c>
      <c r="F71" s="43">
        <v>0.48116621808813198</v>
      </c>
      <c r="G71" s="44">
        <v>6.2</v>
      </c>
      <c r="H71" s="44">
        <v>6.5000000000000002E-2</v>
      </c>
      <c r="I71" s="45">
        <v>780</v>
      </c>
      <c r="J71" s="45">
        <v>130</v>
      </c>
      <c r="K71" s="46">
        <v>3.2</v>
      </c>
      <c r="L71" s="44">
        <v>21</v>
      </c>
      <c r="M71" s="44">
        <v>42</v>
      </c>
      <c r="N71" s="22"/>
      <c r="Q71" s="8"/>
      <c r="R71" s="8"/>
      <c r="S71" s="8"/>
    </row>
    <row r="72" spans="1:19">
      <c r="A72" s="4">
        <f t="shared" si="1"/>
        <v>71</v>
      </c>
      <c r="B72" s="23">
        <v>3.57</v>
      </c>
      <c r="C72" s="23">
        <v>0.60499999999999998</v>
      </c>
      <c r="D72" s="23">
        <v>46.34</v>
      </c>
      <c r="E72" s="23">
        <v>9.06</v>
      </c>
      <c r="F72" s="43">
        <v>0.45527334305623074</v>
      </c>
      <c r="G72" s="44">
        <v>6.2</v>
      </c>
      <c r="H72" s="44">
        <v>6.5000000000000002E-2</v>
      </c>
      <c r="I72" s="45">
        <v>780</v>
      </c>
      <c r="J72" s="45">
        <v>130</v>
      </c>
      <c r="K72" s="46">
        <v>3.2</v>
      </c>
      <c r="L72" s="44">
        <v>21</v>
      </c>
      <c r="M72" s="44">
        <v>42</v>
      </c>
      <c r="N72" s="22"/>
      <c r="Q72" s="8"/>
      <c r="R72" s="8"/>
      <c r="S72" s="8"/>
    </row>
    <row r="73" spans="1:19">
      <c r="A73" s="4">
        <f t="shared" si="1"/>
        <v>72</v>
      </c>
      <c r="B73" s="23">
        <v>1.3</v>
      </c>
      <c r="C73" s="23">
        <v>0.60499999999999998</v>
      </c>
      <c r="D73" s="23">
        <v>49.12</v>
      </c>
      <c r="E73" s="23">
        <v>11.57</v>
      </c>
      <c r="F73" s="43">
        <v>0.47745126255562625</v>
      </c>
      <c r="G73" s="44">
        <v>6.2</v>
      </c>
      <c r="H73" s="44">
        <v>6.5000000000000002E-2</v>
      </c>
      <c r="I73" s="45">
        <v>780</v>
      </c>
      <c r="J73" s="45">
        <v>130</v>
      </c>
      <c r="K73" s="46">
        <v>3.2</v>
      </c>
      <c r="L73" s="44">
        <v>21</v>
      </c>
      <c r="M73" s="44">
        <v>42</v>
      </c>
      <c r="N73" s="22"/>
      <c r="Q73" s="8"/>
      <c r="R73" s="8"/>
      <c r="S73" s="8"/>
    </row>
    <row r="74" spans="1:19">
      <c r="A74" s="4">
        <f t="shared" si="1"/>
        <v>73</v>
      </c>
      <c r="B74" s="23">
        <v>1</v>
      </c>
      <c r="C74" s="23">
        <v>0.59499999999999997</v>
      </c>
      <c r="D74" s="23">
        <v>44.82</v>
      </c>
      <c r="E74" s="23">
        <v>16.88</v>
      </c>
      <c r="F74" s="43">
        <v>0.45888996134453791</v>
      </c>
      <c r="G74" s="44">
        <v>6.2</v>
      </c>
      <c r="H74" s="44">
        <v>6.5000000000000002E-2</v>
      </c>
      <c r="I74" s="45">
        <v>780</v>
      </c>
      <c r="J74" s="45">
        <v>130</v>
      </c>
      <c r="K74" s="46">
        <v>3.2</v>
      </c>
      <c r="L74" s="44">
        <v>21</v>
      </c>
      <c r="M74" s="44">
        <v>36</v>
      </c>
      <c r="N74" s="22"/>
      <c r="Q74" s="8"/>
      <c r="R74" s="8"/>
      <c r="S74" s="8"/>
    </row>
    <row r="75" spans="1:19">
      <c r="A75" s="4">
        <f t="shared" si="1"/>
        <v>74</v>
      </c>
      <c r="B75" s="23">
        <v>1.2</v>
      </c>
      <c r="C75" s="23">
        <v>0.59499999999999997</v>
      </c>
      <c r="D75" s="23">
        <v>42.96</v>
      </c>
      <c r="E75" s="23">
        <v>15.57</v>
      </c>
      <c r="F75" s="43">
        <v>0.46952039075630253</v>
      </c>
      <c r="G75" s="44">
        <v>6.2</v>
      </c>
      <c r="H75" s="44">
        <v>6.5000000000000002E-2</v>
      </c>
      <c r="I75" s="45">
        <v>780</v>
      </c>
      <c r="J75" s="45">
        <v>130</v>
      </c>
      <c r="K75" s="46">
        <v>3.2</v>
      </c>
      <c r="L75" s="44">
        <v>21</v>
      </c>
      <c r="M75" s="44">
        <v>36</v>
      </c>
      <c r="N75" s="22"/>
      <c r="Q75" s="8"/>
      <c r="R75" s="8"/>
      <c r="S75" s="8"/>
    </row>
    <row r="76" spans="1:19">
      <c r="A76" s="4">
        <f t="shared" si="1"/>
        <v>75</v>
      </c>
      <c r="B76" s="23">
        <v>1.59</v>
      </c>
      <c r="C76" s="23">
        <v>0.18</v>
      </c>
      <c r="D76" s="23">
        <v>39.909999999999997</v>
      </c>
      <c r="E76" s="23">
        <v>9.0399999999999991</v>
      </c>
      <c r="F76" s="43">
        <v>0.54325031446540872</v>
      </c>
      <c r="G76" s="44">
        <v>6.2</v>
      </c>
      <c r="H76" s="44">
        <v>6.3E-2</v>
      </c>
      <c r="I76" s="45">
        <v>756</v>
      </c>
      <c r="J76" s="45">
        <v>126</v>
      </c>
      <c r="K76" s="46">
        <v>2.41</v>
      </c>
      <c r="L76" s="44">
        <v>18</v>
      </c>
      <c r="M76" s="44">
        <v>127</v>
      </c>
      <c r="N76" s="22"/>
      <c r="Q76" s="8"/>
      <c r="R76" s="8"/>
      <c r="S76" s="8"/>
    </row>
    <row r="77" spans="1:19">
      <c r="A77" s="4">
        <f t="shared" si="1"/>
        <v>76</v>
      </c>
      <c r="B77" s="23">
        <v>1.94</v>
      </c>
      <c r="C77" s="23">
        <v>0.18</v>
      </c>
      <c r="D77" s="23">
        <v>40.99</v>
      </c>
      <c r="E77" s="23">
        <v>7.6</v>
      </c>
      <c r="F77" s="43">
        <v>0.6742088630338734</v>
      </c>
      <c r="G77" s="44">
        <v>6.2</v>
      </c>
      <c r="H77" s="44">
        <v>6.3E-2</v>
      </c>
      <c r="I77" s="45">
        <v>756</v>
      </c>
      <c r="J77" s="45">
        <v>126</v>
      </c>
      <c r="K77" s="46">
        <v>2.41</v>
      </c>
      <c r="L77" s="44">
        <v>18</v>
      </c>
      <c r="M77" s="44">
        <v>127</v>
      </c>
      <c r="N77" s="22"/>
      <c r="Q77" s="8"/>
      <c r="R77" s="8"/>
      <c r="S77" s="8"/>
    </row>
    <row r="78" spans="1:19">
      <c r="A78" s="4">
        <f t="shared" si="1"/>
        <v>77</v>
      </c>
      <c r="B78" s="23">
        <v>0.44</v>
      </c>
      <c r="C78" s="23">
        <v>0.18</v>
      </c>
      <c r="D78" s="23">
        <v>42.22</v>
      </c>
      <c r="E78" s="23">
        <v>5.99</v>
      </c>
      <c r="F78" s="43">
        <v>1.2231566363636361</v>
      </c>
      <c r="G78" s="44">
        <v>6.2</v>
      </c>
      <c r="H78" s="44">
        <v>6.3E-2</v>
      </c>
      <c r="I78" s="45">
        <v>756</v>
      </c>
      <c r="J78" s="45">
        <v>126</v>
      </c>
      <c r="K78" s="46">
        <v>2.41</v>
      </c>
      <c r="L78" s="44">
        <v>18</v>
      </c>
      <c r="M78" s="44">
        <v>127</v>
      </c>
      <c r="N78" s="22"/>
      <c r="Q78" s="8"/>
      <c r="R78" s="8"/>
      <c r="S78" s="8"/>
    </row>
    <row r="79" spans="1:19">
      <c r="A79" s="4">
        <f t="shared" si="1"/>
        <v>78</v>
      </c>
      <c r="B79" s="23">
        <v>2.81</v>
      </c>
      <c r="C79" s="23">
        <v>0.505</v>
      </c>
      <c r="D79" s="23">
        <v>46.12</v>
      </c>
      <c r="E79" s="23">
        <v>16.440000000000001</v>
      </c>
      <c r="F79" s="43">
        <v>0.36626288617995373</v>
      </c>
      <c r="G79" s="44">
        <v>6.2</v>
      </c>
      <c r="H79" s="44">
        <v>6.5000000000000002E-2</v>
      </c>
      <c r="I79" s="45">
        <v>780</v>
      </c>
      <c r="J79" s="45">
        <v>130</v>
      </c>
      <c r="K79" s="46">
        <v>3.2</v>
      </c>
      <c r="L79" s="44">
        <v>21</v>
      </c>
      <c r="M79" s="44">
        <v>127</v>
      </c>
      <c r="N79" s="22"/>
      <c r="Q79" s="8"/>
      <c r="R79" s="8"/>
      <c r="S79" s="8"/>
    </row>
    <row r="80" spans="1:19">
      <c r="A80" s="4">
        <f t="shared" si="1"/>
        <v>79</v>
      </c>
      <c r="B80" s="23">
        <v>0.8</v>
      </c>
      <c r="C80" s="23">
        <v>0.47499999999999998</v>
      </c>
      <c r="D80" s="23">
        <v>41.85</v>
      </c>
      <c r="E80" s="23">
        <v>15.2</v>
      </c>
      <c r="F80" s="43">
        <v>0.4662391552631579</v>
      </c>
      <c r="G80" s="44">
        <v>6.2</v>
      </c>
      <c r="H80" s="44">
        <v>6.5000000000000002E-2</v>
      </c>
      <c r="I80" s="45">
        <v>780</v>
      </c>
      <c r="J80" s="45">
        <v>130</v>
      </c>
      <c r="K80" s="46">
        <v>3.2</v>
      </c>
      <c r="L80" s="44">
        <v>21</v>
      </c>
      <c r="M80" s="44">
        <v>0</v>
      </c>
      <c r="N80" s="22"/>
      <c r="Q80" s="8"/>
      <c r="R80" s="8"/>
      <c r="S80" s="8"/>
    </row>
    <row r="81" spans="1:19">
      <c r="A81" s="4">
        <f t="shared" si="1"/>
        <v>80</v>
      </c>
      <c r="B81" s="23">
        <v>1.3</v>
      </c>
      <c r="C81" s="23">
        <v>0.47499999999999998</v>
      </c>
      <c r="D81" s="23">
        <v>39.630000000000003</v>
      </c>
      <c r="E81" s="23">
        <v>15.15</v>
      </c>
      <c r="F81" s="43">
        <v>0.45910076923076931</v>
      </c>
      <c r="G81" s="44">
        <v>6.2</v>
      </c>
      <c r="H81" s="44">
        <v>6.5000000000000002E-2</v>
      </c>
      <c r="I81" s="45">
        <v>780</v>
      </c>
      <c r="J81" s="45">
        <v>130</v>
      </c>
      <c r="K81" s="46">
        <v>3.2</v>
      </c>
      <c r="L81" s="44">
        <v>21</v>
      </c>
      <c r="M81" s="44">
        <v>0</v>
      </c>
      <c r="N81" s="22"/>
      <c r="Q81" s="8"/>
      <c r="R81" s="8"/>
      <c r="S81" s="8"/>
    </row>
    <row r="82" spans="1:19">
      <c r="A82" s="4">
        <f t="shared" si="1"/>
        <v>81</v>
      </c>
      <c r="B82" s="23">
        <v>1.24</v>
      </c>
      <c r="C82" s="23">
        <v>0.47499999999999998</v>
      </c>
      <c r="D82" s="23">
        <v>37.159999999999997</v>
      </c>
      <c r="E82" s="23">
        <v>15.09</v>
      </c>
      <c r="F82" s="43">
        <v>0.40034074702886258</v>
      </c>
      <c r="G82" s="44">
        <v>6.2</v>
      </c>
      <c r="H82" s="44">
        <v>6.5000000000000002E-2</v>
      </c>
      <c r="I82" s="45">
        <v>780</v>
      </c>
      <c r="J82" s="45">
        <v>130</v>
      </c>
      <c r="K82" s="46">
        <v>3.2</v>
      </c>
      <c r="L82" s="44">
        <v>21</v>
      </c>
      <c r="M82" s="44">
        <v>0</v>
      </c>
      <c r="N82" s="22"/>
      <c r="Q82" s="8"/>
      <c r="R82" s="8"/>
      <c r="S82" s="8"/>
    </row>
    <row r="83" spans="1:19">
      <c r="A83" s="4">
        <f t="shared" si="1"/>
        <v>82</v>
      </c>
      <c r="B83" s="23">
        <v>1.1100000000000001</v>
      </c>
      <c r="C83" s="23">
        <v>0.47499999999999998</v>
      </c>
      <c r="D83" s="23">
        <v>35.979999999999997</v>
      </c>
      <c r="E83" s="23">
        <v>15.06</v>
      </c>
      <c r="F83" s="43">
        <v>0.40241877667140835</v>
      </c>
      <c r="G83" s="44">
        <v>6.2</v>
      </c>
      <c r="H83" s="44">
        <v>6.5000000000000002E-2</v>
      </c>
      <c r="I83" s="45">
        <v>780</v>
      </c>
      <c r="J83" s="45">
        <v>130</v>
      </c>
      <c r="K83" s="46">
        <v>3.2</v>
      </c>
      <c r="L83" s="44">
        <v>21</v>
      </c>
      <c r="M83" s="44">
        <v>0</v>
      </c>
      <c r="N83" s="22"/>
      <c r="Q83" s="8"/>
      <c r="R83" s="8"/>
      <c r="S83" s="8"/>
    </row>
    <row r="84" spans="1:19">
      <c r="A84" s="4">
        <f t="shared" si="1"/>
        <v>83</v>
      </c>
      <c r="B84" s="23">
        <v>2.8</v>
      </c>
      <c r="C84" s="23">
        <v>0.47499999999999998</v>
      </c>
      <c r="D84" s="23">
        <v>32.840000000000003</v>
      </c>
      <c r="E84" s="23">
        <v>14.99</v>
      </c>
      <c r="F84" s="43">
        <v>0.39507828947368423</v>
      </c>
      <c r="G84" s="44">
        <v>6.2</v>
      </c>
      <c r="H84" s="44">
        <v>6.5000000000000002E-2</v>
      </c>
      <c r="I84" s="45">
        <v>780</v>
      </c>
      <c r="J84" s="45">
        <v>130</v>
      </c>
      <c r="K84" s="46">
        <v>3.2</v>
      </c>
      <c r="L84" s="44">
        <v>21</v>
      </c>
      <c r="M84" s="44">
        <v>0</v>
      </c>
      <c r="N84" s="22"/>
      <c r="Q84" s="8"/>
      <c r="R84" s="8"/>
      <c r="S84" s="8"/>
    </row>
    <row r="85" spans="1:19">
      <c r="A85" s="4">
        <f t="shared" si="1"/>
        <v>84</v>
      </c>
      <c r="B85" s="23">
        <v>2.5</v>
      </c>
      <c r="C85" s="23">
        <v>0.47499999999999998</v>
      </c>
      <c r="D85" s="23">
        <v>28.99</v>
      </c>
      <c r="E85" s="23">
        <v>14.89</v>
      </c>
      <c r="F85" s="43">
        <v>0.47180459833795019</v>
      </c>
      <c r="G85" s="44">
        <v>6.2</v>
      </c>
      <c r="H85" s="44">
        <v>6.5000000000000002E-2</v>
      </c>
      <c r="I85" s="45">
        <v>780</v>
      </c>
      <c r="J85" s="45">
        <v>130</v>
      </c>
      <c r="K85" s="46">
        <v>3.2</v>
      </c>
      <c r="L85" s="44">
        <v>21</v>
      </c>
      <c r="M85" s="44">
        <v>0</v>
      </c>
      <c r="N85" s="22"/>
      <c r="Q85" s="8"/>
      <c r="R85" s="8"/>
      <c r="S85" s="8"/>
    </row>
    <row r="86" spans="1:19">
      <c r="A86" s="4">
        <f t="shared" si="1"/>
        <v>85</v>
      </c>
      <c r="B86" s="23">
        <v>1.7</v>
      </c>
      <c r="C86" s="23">
        <v>0.47499999999999998</v>
      </c>
      <c r="D86" s="23">
        <v>24.48</v>
      </c>
      <c r="E86" s="23">
        <v>14.79</v>
      </c>
      <c r="F86" s="43">
        <v>0.51201403780348698</v>
      </c>
      <c r="G86" s="44">
        <v>6.2</v>
      </c>
      <c r="H86" s="44">
        <v>6.5000000000000002E-2</v>
      </c>
      <c r="I86" s="45">
        <v>780</v>
      </c>
      <c r="J86" s="45">
        <v>130</v>
      </c>
      <c r="K86" s="46">
        <v>3.2</v>
      </c>
      <c r="L86" s="44">
        <v>21</v>
      </c>
      <c r="M86" s="44">
        <v>0</v>
      </c>
      <c r="N86" s="22"/>
      <c r="Q86" s="8"/>
      <c r="R86" s="8"/>
      <c r="S86" s="8"/>
    </row>
    <row r="87" spans="1:19">
      <c r="A87" s="4">
        <f t="shared" si="1"/>
        <v>86</v>
      </c>
      <c r="B87" s="23">
        <v>0.9</v>
      </c>
      <c r="C87" s="23">
        <v>0.47499999999999998</v>
      </c>
      <c r="D87" s="23">
        <v>22.28</v>
      </c>
      <c r="E87" s="23">
        <v>14.73</v>
      </c>
      <c r="F87" s="43">
        <v>0.40848245614035095</v>
      </c>
      <c r="G87" s="44">
        <v>6.2</v>
      </c>
      <c r="H87" s="44">
        <v>6.5000000000000002E-2</v>
      </c>
      <c r="I87" s="45">
        <v>780</v>
      </c>
      <c r="J87" s="45">
        <v>130</v>
      </c>
      <c r="K87" s="46">
        <v>3.2</v>
      </c>
      <c r="L87" s="44">
        <v>21</v>
      </c>
      <c r="M87" s="44">
        <v>0</v>
      </c>
      <c r="N87" s="22"/>
      <c r="Q87" s="8"/>
      <c r="R87" s="8"/>
      <c r="S87" s="8"/>
    </row>
    <row r="88" spans="1:19">
      <c r="A88" s="4">
        <f t="shared" si="1"/>
        <v>87</v>
      </c>
      <c r="B88" s="23">
        <v>1.36</v>
      </c>
      <c r="C88" s="23">
        <v>0.46499999999999997</v>
      </c>
      <c r="D88" s="23">
        <v>23.05</v>
      </c>
      <c r="E88" s="23">
        <v>9.81</v>
      </c>
      <c r="F88" s="43">
        <v>0.32937956989247325</v>
      </c>
      <c r="G88" s="44">
        <v>6.2</v>
      </c>
      <c r="H88" s="44">
        <v>6.5000000000000002E-2</v>
      </c>
      <c r="I88" s="45">
        <v>780</v>
      </c>
      <c r="J88" s="45">
        <v>130</v>
      </c>
      <c r="K88" s="46">
        <v>3.2</v>
      </c>
      <c r="L88" s="44">
        <v>21</v>
      </c>
      <c r="M88" s="44">
        <v>0</v>
      </c>
      <c r="N88" s="22"/>
      <c r="Q88" s="8"/>
      <c r="R88" s="8"/>
      <c r="S88" s="8"/>
    </row>
    <row r="89" spans="1:19">
      <c r="A89" s="4">
        <f t="shared" si="1"/>
        <v>88</v>
      </c>
      <c r="B89" s="23">
        <v>3.43</v>
      </c>
      <c r="C89" s="23">
        <v>0.42499999999999999</v>
      </c>
      <c r="D89" s="23">
        <v>35.81</v>
      </c>
      <c r="E89" s="23">
        <v>6.36</v>
      </c>
      <c r="F89" s="43">
        <v>0.34008596850504902</v>
      </c>
      <c r="G89" s="44">
        <v>6.2</v>
      </c>
      <c r="H89" s="44">
        <v>6.5000000000000002E-2</v>
      </c>
      <c r="I89" s="45">
        <v>780</v>
      </c>
      <c r="J89" s="45">
        <v>130</v>
      </c>
      <c r="K89" s="46">
        <v>3.2</v>
      </c>
      <c r="L89" s="44">
        <v>21</v>
      </c>
      <c r="M89" s="44">
        <v>0</v>
      </c>
      <c r="N89" s="22"/>
      <c r="Q89" s="8"/>
      <c r="R89" s="8"/>
      <c r="S89" s="8"/>
    </row>
    <row r="90" spans="1:19">
      <c r="A90" s="4">
        <f t="shared" si="1"/>
        <v>89</v>
      </c>
      <c r="B90" s="23">
        <v>2.81</v>
      </c>
      <c r="C90" s="23">
        <v>0.51</v>
      </c>
      <c r="D90" s="23">
        <v>48.47</v>
      </c>
      <c r="E90" s="23">
        <v>13.27</v>
      </c>
      <c r="F90" s="43">
        <v>0.3762353938435315</v>
      </c>
      <c r="G90" s="44">
        <v>6.2</v>
      </c>
      <c r="H90" s="44">
        <v>6.5000000000000002E-2</v>
      </c>
      <c r="I90" s="45">
        <v>780</v>
      </c>
      <c r="J90" s="45">
        <v>130</v>
      </c>
      <c r="K90" s="46">
        <v>3.2</v>
      </c>
      <c r="L90" s="44">
        <v>21</v>
      </c>
      <c r="M90" s="44">
        <v>127</v>
      </c>
      <c r="N90" s="22"/>
      <c r="Q90" s="8"/>
      <c r="R90" s="8"/>
      <c r="S90" s="8"/>
    </row>
    <row r="91" spans="1:19">
      <c r="A91" s="4">
        <f t="shared" si="1"/>
        <v>90</v>
      </c>
      <c r="B91" s="23">
        <v>0.97</v>
      </c>
      <c r="C91" s="23">
        <v>0.42499999999999999</v>
      </c>
      <c r="D91" s="23">
        <v>33.630000000000003</v>
      </c>
      <c r="E91" s="23">
        <v>6.48</v>
      </c>
      <c r="F91" s="43">
        <v>0.13702352941176471</v>
      </c>
      <c r="G91" s="44">
        <v>6.2</v>
      </c>
      <c r="H91" s="44">
        <v>6.5000000000000002E-2</v>
      </c>
      <c r="I91" s="45">
        <v>780</v>
      </c>
      <c r="J91" s="45">
        <v>130</v>
      </c>
      <c r="K91" s="46">
        <v>3.2</v>
      </c>
      <c r="L91" s="44">
        <v>21</v>
      </c>
      <c r="M91" s="44">
        <v>0</v>
      </c>
      <c r="N91" s="22"/>
      <c r="Q91" s="8"/>
      <c r="R91" s="8"/>
      <c r="S91" s="8"/>
    </row>
    <row r="92" spans="1:19">
      <c r="A92" s="4">
        <f t="shared" si="1"/>
        <v>91</v>
      </c>
      <c r="B92" s="23">
        <v>0.95</v>
      </c>
      <c r="C92" s="23">
        <v>0.42499999999999999</v>
      </c>
      <c r="D92" s="23">
        <v>28.32</v>
      </c>
      <c r="E92" s="23">
        <v>0.79</v>
      </c>
      <c r="F92" s="43">
        <v>0.3465888544891641</v>
      </c>
      <c r="G92" s="44">
        <v>6.2</v>
      </c>
      <c r="H92" s="44">
        <v>6.5000000000000002E-2</v>
      </c>
      <c r="I92" s="45">
        <v>780</v>
      </c>
      <c r="J92" s="45">
        <v>130</v>
      </c>
      <c r="K92" s="46">
        <v>3.2</v>
      </c>
      <c r="L92" s="44">
        <v>21</v>
      </c>
      <c r="M92" s="44">
        <v>85</v>
      </c>
      <c r="N92" s="22"/>
      <c r="Q92" s="8"/>
      <c r="R92" s="8"/>
      <c r="S92" s="8"/>
    </row>
    <row r="93" spans="1:19">
      <c r="A93" s="4">
        <f t="shared" si="1"/>
        <v>92</v>
      </c>
      <c r="B93" s="23">
        <v>1.81</v>
      </c>
      <c r="C93" s="23">
        <v>0.42499999999999999</v>
      </c>
      <c r="D93" s="23">
        <v>28.52</v>
      </c>
      <c r="E93" s="23">
        <v>3.33</v>
      </c>
      <c r="F93" s="43">
        <v>0.48158771530711741</v>
      </c>
      <c r="G93" s="44">
        <v>6.2</v>
      </c>
      <c r="H93" s="44">
        <v>6.5000000000000002E-2</v>
      </c>
      <c r="I93" s="45">
        <v>780</v>
      </c>
      <c r="J93" s="45">
        <v>130</v>
      </c>
      <c r="K93" s="46">
        <v>3.2</v>
      </c>
      <c r="L93" s="44">
        <v>21</v>
      </c>
      <c r="M93" s="44">
        <v>85</v>
      </c>
      <c r="N93" s="22"/>
      <c r="Q93" s="8"/>
      <c r="R93" s="8"/>
      <c r="S93" s="8"/>
    </row>
    <row r="94" spans="1:19">
      <c r="A94" s="4">
        <f t="shared" si="1"/>
        <v>93</v>
      </c>
      <c r="B94" s="23">
        <v>1.9</v>
      </c>
      <c r="C94" s="23">
        <v>0.42499999999999999</v>
      </c>
      <c r="D94" s="23">
        <v>29.11</v>
      </c>
      <c r="E94" s="23">
        <v>10.17</v>
      </c>
      <c r="F94" s="43">
        <v>0.47115108359133118</v>
      </c>
      <c r="G94" s="44">
        <v>6.2</v>
      </c>
      <c r="H94" s="44">
        <v>6.5000000000000002E-2</v>
      </c>
      <c r="I94" s="45">
        <v>780</v>
      </c>
      <c r="J94" s="45">
        <v>130</v>
      </c>
      <c r="K94" s="46">
        <v>3.2</v>
      </c>
      <c r="L94" s="44">
        <v>21</v>
      </c>
      <c r="M94" s="44">
        <v>85</v>
      </c>
      <c r="N94" s="22"/>
      <c r="Q94" s="8"/>
      <c r="R94" s="8"/>
      <c r="S94" s="8"/>
    </row>
    <row r="95" spans="1:19">
      <c r="A95" s="4">
        <f t="shared" si="1"/>
        <v>94</v>
      </c>
      <c r="B95" s="23">
        <v>2.31</v>
      </c>
      <c r="C95" s="23">
        <v>0.42499999999999999</v>
      </c>
      <c r="D95" s="23">
        <v>29.39</v>
      </c>
      <c r="E95" s="23">
        <v>13.46</v>
      </c>
      <c r="F95" s="43">
        <v>0.29756134453781519</v>
      </c>
      <c r="G95" s="44">
        <v>6.2</v>
      </c>
      <c r="H95" s="44">
        <v>6.5000000000000002E-2</v>
      </c>
      <c r="I95" s="45">
        <v>780</v>
      </c>
      <c r="J95" s="45">
        <v>130</v>
      </c>
      <c r="K95" s="46">
        <v>3.2</v>
      </c>
      <c r="L95" s="44">
        <v>21</v>
      </c>
      <c r="M95" s="44">
        <v>85</v>
      </c>
      <c r="N95" s="22"/>
      <c r="Q95" s="8"/>
      <c r="R95" s="8"/>
      <c r="S95" s="8"/>
    </row>
    <row r="96" spans="1:19">
      <c r="A96" s="4">
        <f t="shared" si="1"/>
        <v>95</v>
      </c>
      <c r="B96" s="23">
        <v>1.22</v>
      </c>
      <c r="C96" s="23">
        <v>0.41499999999999998</v>
      </c>
      <c r="D96" s="23">
        <v>33.4</v>
      </c>
      <c r="E96" s="23">
        <v>12.42</v>
      </c>
      <c r="F96" s="43">
        <v>0.32117603597086353</v>
      </c>
      <c r="G96" s="44">
        <v>6.2</v>
      </c>
      <c r="H96" s="44">
        <v>6.5000000000000002E-2</v>
      </c>
      <c r="I96" s="45">
        <v>780</v>
      </c>
      <c r="J96" s="45">
        <v>130</v>
      </c>
      <c r="K96" s="46">
        <v>3.2</v>
      </c>
      <c r="L96" s="44">
        <v>21</v>
      </c>
      <c r="M96" s="44">
        <v>85</v>
      </c>
      <c r="N96" s="22"/>
      <c r="Q96" s="8"/>
      <c r="R96" s="8"/>
      <c r="S96" s="8"/>
    </row>
    <row r="97" spans="1:19" s="34" customFormat="1" ht="15" thickBot="1">
      <c r="A97" s="4">
        <f t="shared" si="1"/>
        <v>96</v>
      </c>
      <c r="B97" s="27">
        <v>0.49</v>
      </c>
      <c r="C97" s="27">
        <v>0.13500000000000001</v>
      </c>
      <c r="D97" s="27">
        <v>39.72</v>
      </c>
      <c r="E97" s="27">
        <v>14.65</v>
      </c>
      <c r="F97" s="47">
        <v>0.33991292517006805</v>
      </c>
      <c r="G97" s="44">
        <v>6.2</v>
      </c>
      <c r="H97" s="48">
        <v>6.3E-2</v>
      </c>
      <c r="I97" s="49">
        <v>756</v>
      </c>
      <c r="J97" s="49">
        <v>126</v>
      </c>
      <c r="K97" s="54">
        <v>2.41</v>
      </c>
      <c r="L97" s="48">
        <v>18</v>
      </c>
      <c r="M97" s="48">
        <v>85</v>
      </c>
      <c r="N97" s="28"/>
      <c r="O97"/>
      <c r="P97"/>
      <c r="Q97" s="8"/>
      <c r="R97" s="8"/>
      <c r="S97" s="8"/>
    </row>
    <row r="98" spans="1:19">
      <c r="A98" s="4">
        <f t="shared" si="1"/>
        <v>97</v>
      </c>
      <c r="B98" s="26">
        <v>1.7</v>
      </c>
      <c r="C98" s="26">
        <v>0.47499999999999998</v>
      </c>
      <c r="D98" s="26">
        <v>49.72</v>
      </c>
      <c r="E98" s="26">
        <v>12.54</v>
      </c>
      <c r="F98" s="50">
        <v>0.53816024272445817</v>
      </c>
      <c r="G98" s="44">
        <v>6.2</v>
      </c>
      <c r="H98" s="51">
        <v>6.5000000000000002E-2</v>
      </c>
      <c r="I98" s="52">
        <v>780</v>
      </c>
      <c r="J98" s="52">
        <v>130</v>
      </c>
      <c r="K98" s="53">
        <v>3.2</v>
      </c>
      <c r="L98" s="51">
        <v>21</v>
      </c>
      <c r="M98" s="51">
        <f>69</f>
        <v>69</v>
      </c>
      <c r="N98" s="22"/>
      <c r="Q98" s="8"/>
      <c r="R98" s="8"/>
      <c r="S98" s="8"/>
    </row>
    <row r="99" spans="1:19">
      <c r="A99" s="4">
        <f t="shared" si="1"/>
        <v>98</v>
      </c>
      <c r="B99" s="23">
        <v>3.42</v>
      </c>
      <c r="C99" s="23">
        <v>0.47499999999999998</v>
      </c>
      <c r="D99" s="23">
        <v>51.13</v>
      </c>
      <c r="E99" s="23">
        <v>16.14</v>
      </c>
      <c r="F99" s="43">
        <v>0.56596841305016954</v>
      </c>
      <c r="G99" s="44">
        <v>6.2</v>
      </c>
      <c r="H99" s="51">
        <v>6.5000000000000002E-2</v>
      </c>
      <c r="I99" s="45">
        <v>780</v>
      </c>
      <c r="J99" s="45">
        <v>130</v>
      </c>
      <c r="K99" s="53">
        <v>3.2</v>
      </c>
      <c r="L99" s="51">
        <v>21</v>
      </c>
      <c r="M99" s="51">
        <f>69</f>
        <v>69</v>
      </c>
      <c r="N99" s="22"/>
      <c r="Q99" s="8"/>
      <c r="R99" s="8"/>
      <c r="S99" s="8"/>
    </row>
    <row r="100" spans="1:19">
      <c r="A100" s="4">
        <f t="shared" si="1"/>
        <v>99</v>
      </c>
      <c r="B100" s="23">
        <v>3.15</v>
      </c>
      <c r="C100" s="23">
        <v>0.47499999999999998</v>
      </c>
      <c r="D100" s="23">
        <v>52.81</v>
      </c>
      <c r="E100" s="23">
        <v>20.420000000000002</v>
      </c>
      <c r="F100" s="43">
        <v>0.53892483208020048</v>
      </c>
      <c r="G100" s="44">
        <v>6.2</v>
      </c>
      <c r="H100" s="51">
        <v>6.5000000000000002E-2</v>
      </c>
      <c r="I100" s="45">
        <v>780</v>
      </c>
      <c r="J100" s="45">
        <v>130</v>
      </c>
      <c r="K100" s="53">
        <v>3.2</v>
      </c>
      <c r="L100" s="51">
        <v>21</v>
      </c>
      <c r="M100" s="51">
        <f>69</f>
        <v>69</v>
      </c>
      <c r="N100" s="22"/>
      <c r="Q100" s="8"/>
      <c r="R100" s="8"/>
      <c r="S100" s="8"/>
    </row>
    <row r="101" spans="1:19">
      <c r="A101" s="4">
        <f t="shared" si="1"/>
        <v>100</v>
      </c>
      <c r="B101" s="23">
        <v>1</v>
      </c>
      <c r="C101" s="23">
        <v>0.47499999999999998</v>
      </c>
      <c r="D101" s="23">
        <v>54.03</v>
      </c>
      <c r="E101" s="23">
        <v>23.55</v>
      </c>
      <c r="F101" s="43">
        <v>0.69643313950138497</v>
      </c>
      <c r="G101" s="44">
        <v>6.2</v>
      </c>
      <c r="H101" s="51">
        <v>6.5000000000000002E-2</v>
      </c>
      <c r="I101" s="45">
        <v>780</v>
      </c>
      <c r="J101" s="45">
        <v>130</v>
      </c>
      <c r="K101" s="53">
        <v>3.2</v>
      </c>
      <c r="L101" s="51">
        <v>21</v>
      </c>
      <c r="M101" s="51">
        <f>69</f>
        <v>69</v>
      </c>
      <c r="N101" s="22"/>
      <c r="Q101" s="8"/>
      <c r="R101" s="8"/>
      <c r="S101" s="8"/>
    </row>
    <row r="102" spans="1:19">
      <c r="A102" s="4">
        <f t="shared" si="1"/>
        <v>101</v>
      </c>
      <c r="B102" s="23">
        <v>1.1200000000000001</v>
      </c>
      <c r="C102" s="23">
        <v>0.47499999999999998</v>
      </c>
      <c r="D102" s="23">
        <v>54.78</v>
      </c>
      <c r="E102" s="23">
        <v>25.47</v>
      </c>
      <c r="F102" s="43">
        <v>0.43308286327661266</v>
      </c>
      <c r="G102" s="44">
        <v>6.2</v>
      </c>
      <c r="H102" s="51">
        <v>6.5000000000000002E-2</v>
      </c>
      <c r="I102" s="45">
        <v>780</v>
      </c>
      <c r="J102" s="45">
        <v>130</v>
      </c>
      <c r="K102" s="53">
        <v>3.2</v>
      </c>
      <c r="L102" s="51">
        <v>21</v>
      </c>
      <c r="M102" s="51">
        <f>69</f>
        <v>69</v>
      </c>
      <c r="N102" s="22"/>
      <c r="Q102" s="8"/>
      <c r="R102" s="8"/>
      <c r="S102" s="8"/>
    </row>
    <row r="103" spans="1:19">
      <c r="A103" s="4">
        <f t="shared" si="1"/>
        <v>102</v>
      </c>
      <c r="B103" s="23">
        <v>1.96</v>
      </c>
      <c r="C103" s="23">
        <v>0.35499999999999998</v>
      </c>
      <c r="D103" s="23">
        <v>47.18</v>
      </c>
      <c r="E103" s="23">
        <v>26.04</v>
      </c>
      <c r="F103" s="43">
        <v>0.564919527162978</v>
      </c>
      <c r="G103" s="44">
        <v>6.2</v>
      </c>
      <c r="H103" s="51">
        <v>6.5000000000000002E-2</v>
      </c>
      <c r="I103" s="45">
        <v>780</v>
      </c>
      <c r="J103" s="45">
        <v>130</v>
      </c>
      <c r="K103" s="53">
        <v>3.2</v>
      </c>
      <c r="L103" s="51">
        <v>21</v>
      </c>
      <c r="M103" s="44">
        <v>172</v>
      </c>
      <c r="N103" s="22"/>
      <c r="Q103" s="8"/>
      <c r="R103" s="8"/>
      <c r="S103" s="8"/>
    </row>
    <row r="104" spans="1:19">
      <c r="A104" s="4">
        <f t="shared" si="1"/>
        <v>103</v>
      </c>
      <c r="B104" s="23">
        <v>2</v>
      </c>
      <c r="C104" s="23">
        <v>0.35499999999999998</v>
      </c>
      <c r="D104" s="23">
        <v>50.17</v>
      </c>
      <c r="E104" s="23">
        <v>25.71</v>
      </c>
      <c r="F104" s="43">
        <v>0.8712531918468559</v>
      </c>
      <c r="G104" s="44">
        <v>6.2</v>
      </c>
      <c r="H104" s="51">
        <v>6.5000000000000002E-2</v>
      </c>
      <c r="I104" s="45">
        <v>780</v>
      </c>
      <c r="J104" s="45">
        <v>130</v>
      </c>
      <c r="K104" s="53">
        <v>3.2</v>
      </c>
      <c r="L104" s="51">
        <v>21</v>
      </c>
      <c r="M104" s="55">
        <v>172</v>
      </c>
      <c r="N104" s="22"/>
      <c r="Q104" s="8"/>
      <c r="R104" s="8"/>
      <c r="S104" s="8"/>
    </row>
    <row r="105" spans="1:19">
      <c r="A105" s="4">
        <f t="shared" si="1"/>
        <v>104</v>
      </c>
      <c r="B105" s="23">
        <v>2.27</v>
      </c>
      <c r="C105" s="23">
        <v>0.29499999999999998</v>
      </c>
      <c r="D105" s="23">
        <v>50.29</v>
      </c>
      <c r="E105" s="23">
        <v>21.16</v>
      </c>
      <c r="F105" s="43">
        <v>0.46918427238109467</v>
      </c>
      <c r="G105" s="44">
        <v>6.2</v>
      </c>
      <c r="H105" s="51">
        <v>6.5000000000000002E-2</v>
      </c>
      <c r="I105" s="45">
        <v>780</v>
      </c>
      <c r="J105" s="45">
        <v>130</v>
      </c>
      <c r="K105" s="53">
        <v>3.2</v>
      </c>
      <c r="L105" s="51">
        <v>21</v>
      </c>
      <c r="M105" s="55">
        <v>162</v>
      </c>
      <c r="N105" s="22"/>
      <c r="Q105" s="8"/>
      <c r="R105" s="8"/>
      <c r="S105" s="8"/>
    </row>
    <row r="106" spans="1:19">
      <c r="A106" s="4">
        <f t="shared" si="1"/>
        <v>105</v>
      </c>
      <c r="B106" s="23">
        <v>4.25</v>
      </c>
      <c r="C106" s="23">
        <v>0.13500000000000001</v>
      </c>
      <c r="D106" s="23">
        <v>49.37</v>
      </c>
      <c r="E106" s="23">
        <v>23.49</v>
      </c>
      <c r="F106" s="43">
        <v>0.37601442265795215</v>
      </c>
      <c r="G106" s="44">
        <v>6.2</v>
      </c>
      <c r="H106" s="44">
        <v>6.3E-2</v>
      </c>
      <c r="I106" s="45">
        <v>756</v>
      </c>
      <c r="J106" s="45">
        <v>126</v>
      </c>
      <c r="K106" s="46">
        <v>2.41</v>
      </c>
      <c r="L106" s="44">
        <v>18</v>
      </c>
      <c r="M106" s="55">
        <v>85</v>
      </c>
      <c r="N106" s="22"/>
      <c r="Q106" s="8"/>
      <c r="R106" s="8"/>
      <c r="S106" s="8"/>
    </row>
    <row r="107" spans="1:19">
      <c r="A107" s="4">
        <f t="shared" si="1"/>
        <v>106</v>
      </c>
      <c r="B107" s="23">
        <v>2.2200000000000002</v>
      </c>
      <c r="C107" s="23">
        <v>0.29499999999999998</v>
      </c>
      <c r="D107" s="23">
        <v>51.51</v>
      </c>
      <c r="E107" s="23">
        <v>24.42</v>
      </c>
      <c r="F107" s="43">
        <v>0.44041926248282182</v>
      </c>
      <c r="G107" s="44">
        <v>6.2</v>
      </c>
      <c r="H107" s="44">
        <v>6.5000000000000002E-2</v>
      </c>
      <c r="I107" s="45">
        <v>780</v>
      </c>
      <c r="J107" s="45">
        <v>130</v>
      </c>
      <c r="K107" s="46">
        <v>3.2</v>
      </c>
      <c r="L107" s="44">
        <v>21</v>
      </c>
      <c r="M107" s="55">
        <v>162</v>
      </c>
      <c r="N107" s="22"/>
      <c r="Q107" s="8"/>
      <c r="R107" s="8"/>
      <c r="S107" s="8"/>
    </row>
    <row r="108" spans="1:19">
      <c r="A108" s="4">
        <f t="shared" si="1"/>
        <v>107</v>
      </c>
      <c r="B108" s="23">
        <v>2.4</v>
      </c>
      <c r="C108" s="23">
        <v>0.35499999999999998</v>
      </c>
      <c r="D108" s="23">
        <v>45.87</v>
      </c>
      <c r="E108" s="23">
        <v>25.59</v>
      </c>
      <c r="F108" s="43">
        <v>0.40066878286384977</v>
      </c>
      <c r="G108" s="44">
        <v>6.2</v>
      </c>
      <c r="H108" s="44">
        <v>6.5000000000000002E-2</v>
      </c>
      <c r="I108" s="45">
        <v>780</v>
      </c>
      <c r="J108" s="45">
        <v>130</v>
      </c>
      <c r="K108" s="46">
        <v>3.2</v>
      </c>
      <c r="L108" s="44">
        <v>21</v>
      </c>
      <c r="M108" s="55">
        <v>84</v>
      </c>
      <c r="N108" s="22"/>
      <c r="Q108" s="8"/>
      <c r="R108" s="8"/>
      <c r="S108" s="8"/>
    </row>
    <row r="109" spans="1:19">
      <c r="A109" s="4">
        <f t="shared" si="1"/>
        <v>108</v>
      </c>
      <c r="B109" s="23">
        <v>3.5</v>
      </c>
      <c r="C109" s="23">
        <v>0.35499999999999998</v>
      </c>
      <c r="D109" s="23">
        <v>45.44</v>
      </c>
      <c r="E109" s="23">
        <v>21.47</v>
      </c>
      <c r="F109" s="43">
        <v>0.48381569818913484</v>
      </c>
      <c r="G109" s="44">
        <v>6.2</v>
      </c>
      <c r="H109" s="44">
        <v>6.5000000000000002E-2</v>
      </c>
      <c r="I109" s="45">
        <v>780</v>
      </c>
      <c r="J109" s="45">
        <v>130</v>
      </c>
      <c r="K109" s="46">
        <v>3.2</v>
      </c>
      <c r="L109" s="44">
        <v>21</v>
      </c>
      <c r="M109" s="55">
        <v>84</v>
      </c>
      <c r="N109" s="22"/>
      <c r="Q109" s="8"/>
      <c r="R109" s="8"/>
      <c r="S109" s="8"/>
    </row>
    <row r="110" spans="1:19">
      <c r="A110" s="4">
        <f t="shared" si="1"/>
        <v>109</v>
      </c>
      <c r="B110" s="23">
        <v>1.3</v>
      </c>
      <c r="C110" s="23">
        <v>0.35499999999999998</v>
      </c>
      <c r="D110" s="23">
        <v>45.07</v>
      </c>
      <c r="E110" s="23">
        <v>17.86</v>
      </c>
      <c r="F110" s="43">
        <v>0.53834456879739978</v>
      </c>
      <c r="G110" s="44">
        <v>6.2</v>
      </c>
      <c r="H110" s="44">
        <v>6.5000000000000002E-2</v>
      </c>
      <c r="I110" s="45">
        <v>780</v>
      </c>
      <c r="J110" s="45">
        <v>130</v>
      </c>
      <c r="K110" s="46">
        <v>3.2</v>
      </c>
      <c r="L110" s="44">
        <v>21</v>
      </c>
      <c r="M110" s="55">
        <v>84</v>
      </c>
      <c r="N110" s="22"/>
      <c r="Q110" s="8"/>
      <c r="R110" s="8"/>
      <c r="S110" s="8"/>
    </row>
    <row r="111" spans="1:19">
      <c r="A111" s="4">
        <f t="shared" si="1"/>
        <v>110</v>
      </c>
      <c r="B111" s="23">
        <v>2.73</v>
      </c>
      <c r="C111" s="23">
        <v>0.155</v>
      </c>
      <c r="D111" s="23">
        <v>47.76</v>
      </c>
      <c r="E111" s="23">
        <v>21.75</v>
      </c>
      <c r="F111" s="43">
        <v>0.7448933863916174</v>
      </c>
      <c r="G111" s="44">
        <v>6.2</v>
      </c>
      <c r="H111" s="44">
        <v>6.3E-2</v>
      </c>
      <c r="I111" s="45">
        <v>756</v>
      </c>
      <c r="J111" s="45">
        <v>126</v>
      </c>
      <c r="K111" s="46">
        <v>2.41</v>
      </c>
      <c r="L111" s="44">
        <v>18</v>
      </c>
      <c r="M111" s="55">
        <v>174</v>
      </c>
      <c r="N111" s="22"/>
      <c r="Q111" s="8"/>
      <c r="R111" s="8"/>
      <c r="S111" s="8"/>
    </row>
    <row r="112" spans="1:19">
      <c r="A112" s="4">
        <f t="shared" si="1"/>
        <v>111</v>
      </c>
      <c r="B112" s="23">
        <v>0.88</v>
      </c>
      <c r="C112" s="23">
        <v>0.35499999999999998</v>
      </c>
      <c r="D112" s="23">
        <v>46.69</v>
      </c>
      <c r="E112" s="23">
        <v>33.61</v>
      </c>
      <c r="F112" s="43">
        <v>0.40598267479396222</v>
      </c>
      <c r="G112" s="44">
        <v>6.2</v>
      </c>
      <c r="H112" s="44">
        <v>6.5000000000000002E-2</v>
      </c>
      <c r="I112" s="45">
        <v>780</v>
      </c>
      <c r="J112" s="45">
        <v>130</v>
      </c>
      <c r="K112" s="46">
        <v>3.2</v>
      </c>
      <c r="L112" s="44">
        <v>21</v>
      </c>
      <c r="M112" s="55">
        <v>84</v>
      </c>
      <c r="N112" s="22"/>
      <c r="Q112" s="8"/>
      <c r="R112" s="8"/>
      <c r="S112" s="8"/>
    </row>
    <row r="113" spans="1:19">
      <c r="A113" s="4">
        <f t="shared" si="1"/>
        <v>112</v>
      </c>
      <c r="B113" s="23">
        <v>3.3</v>
      </c>
      <c r="C113" s="23">
        <v>0.35499999999999998</v>
      </c>
      <c r="D113" s="23">
        <v>46.35</v>
      </c>
      <c r="E113" s="23">
        <v>30.34</v>
      </c>
      <c r="F113" s="43">
        <v>0.35137156228021132</v>
      </c>
      <c r="G113" s="44">
        <v>6.2</v>
      </c>
      <c r="H113" s="44">
        <v>6.5000000000000002E-2</v>
      </c>
      <c r="I113" s="45">
        <v>780</v>
      </c>
      <c r="J113" s="45">
        <v>130</v>
      </c>
      <c r="K113" s="46">
        <v>3.2</v>
      </c>
      <c r="L113" s="44">
        <v>21</v>
      </c>
      <c r="M113" s="55">
        <v>84</v>
      </c>
      <c r="N113" s="22"/>
      <c r="Q113" s="8"/>
      <c r="R113" s="8"/>
      <c r="S113" s="8"/>
    </row>
    <row r="114" spans="1:19">
      <c r="A114" s="4">
        <f t="shared" si="1"/>
        <v>113</v>
      </c>
      <c r="B114" s="23">
        <v>0.72</v>
      </c>
      <c r="C114" s="23">
        <v>0.35499999999999998</v>
      </c>
      <c r="D114" s="23">
        <v>46.03</v>
      </c>
      <c r="E114" s="23">
        <v>17.14</v>
      </c>
      <c r="F114" s="43">
        <v>0.47974329266679883</v>
      </c>
      <c r="G114" s="44">
        <v>6.2</v>
      </c>
      <c r="H114" s="44">
        <v>6.5000000000000002E-2</v>
      </c>
      <c r="I114" s="45">
        <v>780</v>
      </c>
      <c r="J114" s="45">
        <v>130</v>
      </c>
      <c r="K114" s="46">
        <v>3.2</v>
      </c>
      <c r="L114" s="44">
        <v>21</v>
      </c>
      <c r="M114" s="55">
        <v>84</v>
      </c>
      <c r="N114" s="22"/>
      <c r="Q114" s="8"/>
      <c r="R114" s="8"/>
      <c r="S114" s="8"/>
    </row>
    <row r="115" spans="1:19">
      <c r="A115" s="4">
        <f t="shared" si="1"/>
        <v>114</v>
      </c>
      <c r="B115" s="23">
        <v>4.7</v>
      </c>
      <c r="C115" s="23">
        <v>0.35499999999999998</v>
      </c>
      <c r="D115" s="23">
        <v>52.46</v>
      </c>
      <c r="E115" s="23">
        <v>33.35</v>
      </c>
      <c r="F115" s="43">
        <v>0.23243927635938497</v>
      </c>
      <c r="G115" s="44">
        <v>6.2</v>
      </c>
      <c r="H115" s="44">
        <v>6.5000000000000002E-2</v>
      </c>
      <c r="I115" s="45">
        <v>780</v>
      </c>
      <c r="J115" s="45">
        <v>130</v>
      </c>
      <c r="K115" s="46">
        <v>3.2</v>
      </c>
      <c r="L115" s="44">
        <v>21</v>
      </c>
      <c r="M115" s="55">
        <v>175</v>
      </c>
      <c r="N115" s="22"/>
      <c r="Q115" s="8"/>
      <c r="R115" s="8"/>
      <c r="S115" s="8"/>
    </row>
    <row r="116" spans="1:19">
      <c r="A116" s="4">
        <f t="shared" si="1"/>
        <v>115</v>
      </c>
      <c r="B116" s="23">
        <v>2</v>
      </c>
      <c r="C116" s="23">
        <v>0.35499999999999998</v>
      </c>
      <c r="D116" s="23">
        <v>47.54</v>
      </c>
      <c r="E116" s="23">
        <v>33.81</v>
      </c>
      <c r="F116" s="43">
        <v>0.31842987550089263</v>
      </c>
      <c r="G116" s="44">
        <v>6.2</v>
      </c>
      <c r="H116" s="44">
        <v>6.5000000000000002E-2</v>
      </c>
      <c r="I116" s="45">
        <v>780</v>
      </c>
      <c r="J116" s="45">
        <v>130</v>
      </c>
      <c r="K116" s="46">
        <v>3.2</v>
      </c>
      <c r="L116" s="44">
        <v>21</v>
      </c>
      <c r="M116" s="55">
        <v>175</v>
      </c>
      <c r="N116" s="22"/>
      <c r="Q116" s="8"/>
      <c r="R116" s="8"/>
      <c r="S116" s="8"/>
    </row>
    <row r="117" spans="1:19">
      <c r="A117" s="4">
        <f t="shared" si="1"/>
        <v>116</v>
      </c>
      <c r="B117" s="23">
        <v>0.5</v>
      </c>
      <c r="C117" s="23">
        <v>0.35499999999999998</v>
      </c>
      <c r="D117" s="23">
        <v>50.33</v>
      </c>
      <c r="E117" s="23">
        <v>26.07</v>
      </c>
      <c r="F117" s="43">
        <v>0.57202644848244399</v>
      </c>
      <c r="G117" s="44">
        <v>6.2</v>
      </c>
      <c r="H117" s="44">
        <v>6.5000000000000002E-2</v>
      </c>
      <c r="I117" s="45">
        <v>780</v>
      </c>
      <c r="J117" s="45">
        <v>130</v>
      </c>
      <c r="K117" s="46">
        <v>3.2</v>
      </c>
      <c r="L117" s="44">
        <v>21</v>
      </c>
      <c r="M117" s="55">
        <v>71</v>
      </c>
      <c r="N117" s="22"/>
      <c r="Q117" s="8"/>
      <c r="R117" s="8"/>
      <c r="S117" s="8"/>
    </row>
    <row r="118" spans="1:19">
      <c r="A118" s="4">
        <f t="shared" si="1"/>
        <v>117</v>
      </c>
      <c r="B118" s="23">
        <v>0.9</v>
      </c>
      <c r="C118" s="23">
        <v>0.35499999999999998</v>
      </c>
      <c r="D118" s="23">
        <v>51.87</v>
      </c>
      <c r="E118" s="23">
        <v>30.51</v>
      </c>
      <c r="F118" s="43">
        <v>0.53634330080010573</v>
      </c>
      <c r="G118" s="44">
        <v>6.2</v>
      </c>
      <c r="H118" s="44">
        <v>6.5000000000000002E-2</v>
      </c>
      <c r="I118" s="45">
        <v>780</v>
      </c>
      <c r="J118" s="45">
        <v>130</v>
      </c>
      <c r="K118" s="46">
        <v>3.2</v>
      </c>
      <c r="L118" s="44">
        <v>21</v>
      </c>
      <c r="M118" s="55">
        <v>71</v>
      </c>
      <c r="N118" s="22"/>
      <c r="Q118" s="8"/>
      <c r="R118" s="8"/>
      <c r="S118" s="8"/>
    </row>
    <row r="119" spans="1:19">
      <c r="A119" s="4">
        <f t="shared" si="1"/>
        <v>118</v>
      </c>
      <c r="B119" s="23">
        <v>1.25</v>
      </c>
      <c r="C119" s="23">
        <v>0.35499999999999998</v>
      </c>
      <c r="D119" s="23">
        <v>52.71</v>
      </c>
      <c r="E119" s="23">
        <v>32.94</v>
      </c>
      <c r="F119" s="43">
        <v>0.34738995830985919</v>
      </c>
      <c r="G119" s="44">
        <v>6.2</v>
      </c>
      <c r="H119" s="44">
        <v>6.5000000000000002E-2</v>
      </c>
      <c r="I119" s="45">
        <v>780</v>
      </c>
      <c r="J119" s="45">
        <v>130</v>
      </c>
      <c r="K119" s="46">
        <v>3.2</v>
      </c>
      <c r="L119" s="44">
        <v>21</v>
      </c>
      <c r="M119" s="55">
        <v>71</v>
      </c>
      <c r="N119" s="22"/>
      <c r="Q119" s="8"/>
      <c r="R119" s="8"/>
      <c r="S119" s="8"/>
    </row>
    <row r="120" spans="1:19">
      <c r="A120" s="4">
        <f t="shared" si="1"/>
        <v>119</v>
      </c>
      <c r="B120" s="23">
        <v>0.63</v>
      </c>
      <c r="C120" s="23">
        <v>0.47499999999999998</v>
      </c>
      <c r="D120" s="23">
        <v>55.58</v>
      </c>
      <c r="E120" s="23">
        <v>27.5</v>
      </c>
      <c r="F120" s="43">
        <v>0.19609430910609862</v>
      </c>
      <c r="G120" s="44">
        <v>6.2</v>
      </c>
      <c r="H120" s="44">
        <v>6.5000000000000002E-2</v>
      </c>
      <c r="I120" s="45">
        <v>780</v>
      </c>
      <c r="J120" s="45">
        <v>130</v>
      </c>
      <c r="K120" s="46">
        <v>3.2</v>
      </c>
      <c r="L120" s="44">
        <v>21</v>
      </c>
      <c r="M120" s="55">
        <v>69</v>
      </c>
      <c r="N120" s="22"/>
      <c r="Q120" s="8"/>
      <c r="R120" s="8"/>
      <c r="S120" s="8"/>
    </row>
    <row r="121" spans="1:19">
      <c r="A121" s="4">
        <f t="shared" si="1"/>
        <v>120</v>
      </c>
      <c r="B121" s="23">
        <v>1.3</v>
      </c>
      <c r="C121" s="23">
        <v>0.47499999999999998</v>
      </c>
      <c r="D121" s="23">
        <v>56.29</v>
      </c>
      <c r="E121" s="23">
        <v>29.33</v>
      </c>
      <c r="F121" s="43">
        <v>0.17631435789473687</v>
      </c>
      <c r="G121" s="44">
        <v>6.2</v>
      </c>
      <c r="H121" s="44">
        <v>6.5000000000000002E-2</v>
      </c>
      <c r="I121" s="45">
        <v>780</v>
      </c>
      <c r="J121" s="45">
        <v>130</v>
      </c>
      <c r="K121" s="46">
        <v>3.2</v>
      </c>
      <c r="L121" s="44">
        <v>21</v>
      </c>
      <c r="M121" s="55">
        <v>69</v>
      </c>
      <c r="N121" s="22"/>
      <c r="Q121" s="8"/>
      <c r="R121" s="8"/>
      <c r="S121" s="8"/>
    </row>
    <row r="122" spans="1:19">
      <c r="A122" s="4">
        <f t="shared" si="1"/>
        <v>121</v>
      </c>
      <c r="B122" s="23">
        <v>2.1800000000000002</v>
      </c>
      <c r="C122" s="23">
        <v>0.47499999999999998</v>
      </c>
      <c r="D122" s="23">
        <v>57.37</v>
      </c>
      <c r="E122" s="23">
        <v>32.130000000000003</v>
      </c>
      <c r="F122" s="43">
        <v>0.15908958763882183</v>
      </c>
      <c r="G122" s="44">
        <v>6.2</v>
      </c>
      <c r="H122" s="44">
        <v>6.5000000000000002E-2</v>
      </c>
      <c r="I122" s="45">
        <v>780</v>
      </c>
      <c r="J122" s="45">
        <v>130</v>
      </c>
      <c r="K122" s="46">
        <v>3.2</v>
      </c>
      <c r="L122" s="44">
        <v>21</v>
      </c>
      <c r="M122" s="55">
        <v>69</v>
      </c>
      <c r="N122" s="22"/>
      <c r="Q122" s="8"/>
      <c r="R122" s="8"/>
      <c r="S122" s="8"/>
    </row>
    <row r="123" spans="1:19">
      <c r="A123" s="4">
        <f t="shared" si="1"/>
        <v>122</v>
      </c>
      <c r="B123" s="23">
        <v>1.57</v>
      </c>
      <c r="C123" s="23">
        <v>0.35499999999999998</v>
      </c>
      <c r="D123" s="23">
        <v>57.09</v>
      </c>
      <c r="E123" s="23">
        <v>32.9</v>
      </c>
      <c r="F123" s="43">
        <v>0.17521933255584465</v>
      </c>
      <c r="G123" s="44">
        <v>6.2</v>
      </c>
      <c r="H123" s="44">
        <v>6.5000000000000002E-2</v>
      </c>
      <c r="I123" s="45">
        <v>780</v>
      </c>
      <c r="J123" s="45">
        <v>130</v>
      </c>
      <c r="K123" s="46">
        <v>3.2</v>
      </c>
      <c r="L123" s="44">
        <v>21</v>
      </c>
      <c r="M123" s="55">
        <v>175</v>
      </c>
      <c r="N123" s="22"/>
      <c r="Q123" s="8"/>
      <c r="R123" s="8"/>
      <c r="S123" s="8"/>
    </row>
    <row r="124" spans="1:19">
      <c r="A124" s="4">
        <f t="shared" si="1"/>
        <v>123</v>
      </c>
      <c r="B124" s="23">
        <v>1</v>
      </c>
      <c r="C124" s="23">
        <v>0.35499999999999998</v>
      </c>
      <c r="D124" s="23">
        <v>51.06</v>
      </c>
      <c r="E124" s="23">
        <v>28.19</v>
      </c>
      <c r="F124" s="43">
        <v>0.46885593862328911</v>
      </c>
      <c r="G124" s="44">
        <v>6.2</v>
      </c>
      <c r="H124" s="44">
        <v>6.5000000000000002E-2</v>
      </c>
      <c r="I124" s="45">
        <v>780</v>
      </c>
      <c r="J124" s="45">
        <v>130</v>
      </c>
      <c r="K124" s="46">
        <v>3.2</v>
      </c>
      <c r="L124" s="44">
        <v>21</v>
      </c>
      <c r="M124" s="55">
        <v>71</v>
      </c>
      <c r="N124" s="22"/>
      <c r="Q124" s="8"/>
      <c r="R124" s="8"/>
      <c r="S124" s="8"/>
    </row>
    <row r="125" spans="1:19">
      <c r="F125" s="5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65173-52EC-46A5-82AE-A3E9A35CD7DF}">
  <sheetPr codeName="Foglio3"/>
  <dimension ref="A1:AF108"/>
  <sheetViews>
    <sheetView zoomScale="68" zoomScaleNormal="100" workbookViewId="0">
      <selection activeCell="N7" sqref="N7"/>
    </sheetView>
  </sheetViews>
  <sheetFormatPr defaultColWidth="8.90625" defaultRowHeight="14.5"/>
  <cols>
    <col min="2" max="2" width="7.26953125" bestFit="1" customWidth="1"/>
    <col min="3" max="3" width="6.81640625" customWidth="1"/>
    <col min="4" max="4" width="7" bestFit="1" customWidth="1"/>
    <col min="5" max="5" width="6.90625" bestFit="1" customWidth="1"/>
    <col min="6" max="6" width="8.453125" bestFit="1" customWidth="1"/>
    <col min="7" max="7" width="5.6328125" bestFit="1" customWidth="1"/>
    <col min="8" max="8" width="8.26953125" bestFit="1" customWidth="1"/>
    <col min="9" max="10" width="8.6328125" bestFit="1" customWidth="1"/>
    <col min="11" max="12" width="8.26953125" customWidth="1"/>
    <col min="13" max="14" width="9.453125" customWidth="1"/>
    <col min="15" max="15" width="21.6328125" customWidth="1"/>
    <col min="16" max="16" width="14.6328125" customWidth="1"/>
    <col min="17" max="17" width="8.54296875" customWidth="1"/>
    <col min="19" max="19" width="8.90625" customWidth="1"/>
    <col min="22" max="22" width="19.90625" customWidth="1"/>
    <col min="28" max="28" width="11" customWidth="1"/>
  </cols>
  <sheetData>
    <row r="1" spans="1:32">
      <c r="A1" s="68" t="s">
        <v>8</v>
      </c>
      <c r="B1" s="68" t="s">
        <v>9</v>
      </c>
      <c r="C1" s="68" t="s">
        <v>10</v>
      </c>
      <c r="D1" s="68" t="s">
        <v>11</v>
      </c>
      <c r="E1" s="68" t="s">
        <v>12</v>
      </c>
      <c r="F1" s="68" t="s">
        <v>13</v>
      </c>
      <c r="G1" s="68" t="s">
        <v>6</v>
      </c>
      <c r="H1" s="68" t="s">
        <v>14</v>
      </c>
      <c r="I1" s="68" t="s">
        <v>17</v>
      </c>
      <c r="J1" s="68" t="s">
        <v>18</v>
      </c>
      <c r="K1" s="68" t="s">
        <v>15</v>
      </c>
      <c r="L1" s="68" t="s">
        <v>16</v>
      </c>
      <c r="M1" s="68" t="s">
        <v>0</v>
      </c>
      <c r="N1" s="21"/>
      <c r="O1" s="68"/>
      <c r="P1" s="68"/>
      <c r="Q1" s="68"/>
      <c r="R1" s="68"/>
      <c r="S1" s="68"/>
      <c r="T1" s="68"/>
      <c r="U1" s="68"/>
      <c r="W1" s="8"/>
      <c r="X1" s="9"/>
      <c r="Y1" s="9"/>
      <c r="Z1" s="9"/>
      <c r="AA1" s="9"/>
      <c r="AB1" s="10"/>
      <c r="AC1" s="8"/>
      <c r="AD1" s="11"/>
      <c r="AE1" s="9"/>
      <c r="AF1" s="9"/>
    </row>
    <row r="2" spans="1:32">
      <c r="A2" s="4">
        <v>1</v>
      </c>
      <c r="B2" s="24">
        <v>0.69</v>
      </c>
      <c r="C2" s="24">
        <v>0.4</v>
      </c>
      <c r="D2" s="24">
        <v>3.74</v>
      </c>
      <c r="E2" s="24">
        <v>8.33</v>
      </c>
      <c r="F2" s="63">
        <v>0.50539999999999996</v>
      </c>
      <c r="G2" s="44">
        <v>5.4</v>
      </c>
      <c r="H2" s="44">
        <v>6.5000000000000002E-2</v>
      </c>
      <c r="I2" s="45">
        <v>780</v>
      </c>
      <c r="J2" s="45">
        <v>130</v>
      </c>
      <c r="K2" s="46">
        <v>3.2</v>
      </c>
      <c r="L2" s="44">
        <v>21</v>
      </c>
      <c r="M2" s="44">
        <v>61</v>
      </c>
      <c r="N2" s="22"/>
      <c r="O2" s="1"/>
      <c r="P2" s="36"/>
      <c r="R2" s="66"/>
      <c r="S2" s="66"/>
      <c r="T2" s="8"/>
      <c r="W2" s="5"/>
      <c r="X2" s="6"/>
      <c r="Y2" s="6"/>
      <c r="Z2" s="6"/>
      <c r="AA2" s="6"/>
      <c r="AB2" s="12"/>
      <c r="AC2" s="5"/>
      <c r="AD2" s="7"/>
      <c r="AE2" s="5"/>
      <c r="AF2" s="5"/>
    </row>
    <row r="3" spans="1:32">
      <c r="A3" s="4">
        <f>A2+1</f>
        <v>2</v>
      </c>
      <c r="B3" s="24">
        <v>4.5199999999999996</v>
      </c>
      <c r="C3" s="24">
        <v>0.4</v>
      </c>
      <c r="D3" s="24">
        <v>5.85</v>
      </c>
      <c r="E3" s="24">
        <v>12.2</v>
      </c>
      <c r="F3" s="63">
        <v>0.35009999999999997</v>
      </c>
      <c r="G3" s="44">
        <v>5.4</v>
      </c>
      <c r="H3" s="44">
        <v>6.5000000000000002E-2</v>
      </c>
      <c r="I3" s="45">
        <v>780</v>
      </c>
      <c r="J3" s="45">
        <v>130</v>
      </c>
      <c r="K3" s="46">
        <v>3.2</v>
      </c>
      <c r="L3" s="44">
        <v>21</v>
      </c>
      <c r="M3" s="44">
        <v>61</v>
      </c>
      <c r="N3" s="22"/>
      <c r="O3" s="1"/>
      <c r="P3" s="36"/>
      <c r="R3" s="66"/>
      <c r="S3" s="66"/>
      <c r="T3" s="8"/>
      <c r="V3" s="1"/>
      <c r="W3" s="5"/>
      <c r="X3" s="6"/>
      <c r="Y3" s="6"/>
      <c r="Z3" s="6"/>
      <c r="AA3" s="6"/>
      <c r="AB3" s="12"/>
      <c r="AC3" s="5"/>
      <c r="AD3" s="7"/>
      <c r="AE3" s="5"/>
      <c r="AF3" s="5"/>
    </row>
    <row r="4" spans="1:32">
      <c r="A4" s="4">
        <f>A3+1</f>
        <v>3</v>
      </c>
      <c r="B4" s="24">
        <v>0.9</v>
      </c>
      <c r="C4" s="24">
        <v>0.4</v>
      </c>
      <c r="D4" s="24">
        <v>7.53</v>
      </c>
      <c r="E4" s="24">
        <v>15.31</v>
      </c>
      <c r="F4" s="63">
        <v>0.86840000000000006</v>
      </c>
      <c r="G4" s="44">
        <v>5.4</v>
      </c>
      <c r="H4" s="44">
        <v>6.5000000000000002E-2</v>
      </c>
      <c r="I4" s="45">
        <v>780</v>
      </c>
      <c r="J4" s="45">
        <v>130</v>
      </c>
      <c r="K4" s="46">
        <v>3.2</v>
      </c>
      <c r="L4" s="44">
        <v>21</v>
      </c>
      <c r="M4" s="44">
        <v>61</v>
      </c>
      <c r="N4" s="22"/>
      <c r="O4" s="1"/>
      <c r="P4" s="36"/>
      <c r="R4" s="66"/>
      <c r="S4" s="66"/>
      <c r="T4" s="8"/>
      <c r="V4" s="1"/>
      <c r="W4" s="5"/>
      <c r="X4" s="6"/>
      <c r="Y4" s="6"/>
      <c r="Z4" s="6"/>
      <c r="AA4" s="6"/>
      <c r="AB4" s="12"/>
      <c r="AC4" s="5"/>
      <c r="AD4" s="7"/>
      <c r="AE4" s="5"/>
      <c r="AF4" s="5"/>
    </row>
    <row r="5" spans="1:32">
      <c r="A5" s="4">
        <f>A4+1</f>
        <v>4</v>
      </c>
      <c r="B5" s="24">
        <v>0.78</v>
      </c>
      <c r="C5" s="24">
        <v>0.4</v>
      </c>
      <c r="D5" s="24">
        <v>10.73</v>
      </c>
      <c r="E5" s="24">
        <v>20.53</v>
      </c>
      <c r="F5" s="63">
        <v>0.92510000000000003</v>
      </c>
      <c r="G5" s="44">
        <v>5.4</v>
      </c>
      <c r="H5" s="44">
        <v>6.5000000000000002E-2</v>
      </c>
      <c r="I5" s="45">
        <v>780</v>
      </c>
      <c r="J5" s="45">
        <v>130</v>
      </c>
      <c r="K5" s="46">
        <v>3.2</v>
      </c>
      <c r="L5" s="44">
        <v>18</v>
      </c>
      <c r="M5" s="44">
        <v>61</v>
      </c>
      <c r="N5" s="22"/>
      <c r="O5" s="1"/>
      <c r="P5" s="36"/>
      <c r="R5" s="66"/>
      <c r="S5" s="66"/>
      <c r="T5" s="8"/>
      <c r="V5" s="1"/>
      <c r="W5" s="5"/>
      <c r="X5" s="6"/>
      <c r="Y5" s="6"/>
      <c r="Z5" s="6"/>
      <c r="AA5" s="6"/>
      <c r="AB5" s="12"/>
      <c r="AC5" s="5"/>
      <c r="AD5" s="7"/>
      <c r="AE5" s="5"/>
      <c r="AF5" s="5"/>
    </row>
    <row r="6" spans="1:32">
      <c r="A6" s="4">
        <f t="shared" ref="A6:A69" si="0">A5+1</f>
        <v>5</v>
      </c>
      <c r="B6" s="24">
        <v>0.52</v>
      </c>
      <c r="C6" s="24">
        <v>0.375</v>
      </c>
      <c r="D6" s="24">
        <v>7.38</v>
      </c>
      <c r="E6" s="24">
        <v>5.93</v>
      </c>
      <c r="F6" s="63">
        <v>0.51789827179487169</v>
      </c>
      <c r="G6" s="44">
        <v>5.4</v>
      </c>
      <c r="H6" s="44">
        <v>6.5000000000000002E-2</v>
      </c>
      <c r="I6" s="45">
        <v>780</v>
      </c>
      <c r="J6" s="45">
        <v>130</v>
      </c>
      <c r="K6" s="46">
        <v>3.2</v>
      </c>
      <c r="L6" s="44">
        <v>21</v>
      </c>
      <c r="M6" s="44">
        <v>61</v>
      </c>
      <c r="N6" s="22"/>
      <c r="O6" s="1"/>
      <c r="P6" s="36"/>
      <c r="R6" s="66"/>
      <c r="S6" s="66"/>
      <c r="T6" s="8"/>
      <c r="V6" s="1"/>
      <c r="W6" s="5"/>
      <c r="X6" s="6"/>
      <c r="Y6" s="6"/>
      <c r="Z6" s="6"/>
      <c r="AA6" s="6"/>
      <c r="AB6" s="12"/>
      <c r="AC6" s="5"/>
      <c r="AD6" s="7"/>
      <c r="AE6" s="5"/>
      <c r="AF6" s="5"/>
    </row>
    <row r="7" spans="1:32">
      <c r="A7" s="4">
        <f t="shared" si="0"/>
        <v>6</v>
      </c>
      <c r="B7" s="24">
        <v>1.06</v>
      </c>
      <c r="C7" s="24">
        <v>0.375</v>
      </c>
      <c r="D7" s="24">
        <v>8.34</v>
      </c>
      <c r="E7" s="24">
        <v>7.68</v>
      </c>
      <c r="F7" s="63">
        <v>0.35364880251572323</v>
      </c>
      <c r="G7" s="44">
        <v>5.4</v>
      </c>
      <c r="H7" s="44">
        <v>6.5000000000000002E-2</v>
      </c>
      <c r="I7" s="45">
        <v>780</v>
      </c>
      <c r="J7" s="45">
        <v>130</v>
      </c>
      <c r="K7" s="46">
        <v>3.2</v>
      </c>
      <c r="L7" s="44">
        <v>21</v>
      </c>
      <c r="M7" s="44">
        <v>61</v>
      </c>
      <c r="N7" s="22"/>
      <c r="O7" s="1"/>
      <c r="P7" s="36"/>
      <c r="R7" s="66"/>
      <c r="S7" s="66"/>
      <c r="T7" s="8"/>
      <c r="V7" s="1"/>
      <c r="W7" s="5"/>
      <c r="X7" s="6"/>
      <c r="Y7" s="6"/>
      <c r="Z7" s="6"/>
      <c r="AA7" s="6"/>
      <c r="AB7" s="12"/>
      <c r="AC7" s="5"/>
      <c r="AD7" s="7"/>
      <c r="AE7" s="5"/>
      <c r="AF7" s="5"/>
    </row>
    <row r="8" spans="1:32">
      <c r="A8" s="4">
        <f t="shared" si="0"/>
        <v>7</v>
      </c>
      <c r="B8" s="24">
        <v>3.05</v>
      </c>
      <c r="C8" s="24">
        <v>0.375</v>
      </c>
      <c r="D8" s="24">
        <v>9.33</v>
      </c>
      <c r="E8" s="24">
        <v>9.48</v>
      </c>
      <c r="F8" s="63">
        <v>0.31503078295081982</v>
      </c>
      <c r="G8" s="44">
        <v>5.4</v>
      </c>
      <c r="H8" s="44">
        <v>6.5000000000000002E-2</v>
      </c>
      <c r="I8" s="45">
        <v>780</v>
      </c>
      <c r="J8" s="45">
        <v>130</v>
      </c>
      <c r="K8" s="46">
        <v>3.2</v>
      </c>
      <c r="L8" s="44">
        <v>21</v>
      </c>
      <c r="M8" s="44">
        <v>61</v>
      </c>
      <c r="N8" s="22"/>
      <c r="O8" s="1"/>
      <c r="P8" s="36"/>
      <c r="R8" s="66"/>
      <c r="S8" s="66"/>
      <c r="T8" s="8"/>
      <c r="V8" s="1"/>
      <c r="W8" s="5"/>
      <c r="X8" s="6"/>
      <c r="Y8" s="6"/>
      <c r="Z8" s="6"/>
      <c r="AA8" s="6"/>
      <c r="AB8" s="12"/>
      <c r="AC8" s="5"/>
      <c r="AD8" s="7"/>
      <c r="AE8" s="5"/>
      <c r="AF8" s="5"/>
    </row>
    <row r="9" spans="1:32">
      <c r="A9" s="4">
        <f t="shared" si="0"/>
        <v>8</v>
      </c>
      <c r="B9" s="24">
        <v>5.59</v>
      </c>
      <c r="C9" s="24">
        <v>0.375</v>
      </c>
      <c r="D9" s="24">
        <v>12.53</v>
      </c>
      <c r="E9" s="24">
        <v>15.3</v>
      </c>
      <c r="F9" s="63">
        <v>0.27635421109123437</v>
      </c>
      <c r="G9" s="44">
        <v>5.4</v>
      </c>
      <c r="H9" s="44">
        <v>6.5000000000000002E-2</v>
      </c>
      <c r="I9" s="45">
        <v>780</v>
      </c>
      <c r="J9" s="45">
        <v>130</v>
      </c>
      <c r="K9" s="46">
        <v>3.2</v>
      </c>
      <c r="L9" s="44">
        <v>21</v>
      </c>
      <c r="M9" s="44">
        <v>61</v>
      </c>
      <c r="N9" s="22"/>
      <c r="O9" s="1"/>
      <c r="P9" s="36"/>
      <c r="R9" s="66"/>
      <c r="S9" s="66"/>
      <c r="T9" s="8"/>
      <c r="V9" s="1"/>
      <c r="W9" s="5"/>
      <c r="X9" s="6"/>
      <c r="Y9" s="6"/>
      <c r="Z9" s="6"/>
      <c r="AA9" s="6"/>
      <c r="AB9" s="12"/>
      <c r="AC9" s="5"/>
      <c r="AD9" s="7"/>
      <c r="AE9" s="5"/>
      <c r="AF9" s="5"/>
    </row>
    <row r="10" spans="1:32">
      <c r="A10" s="4">
        <f t="shared" si="0"/>
        <v>9</v>
      </c>
      <c r="B10" s="24">
        <v>1.26</v>
      </c>
      <c r="C10" s="24">
        <v>0.375</v>
      </c>
      <c r="D10" s="24">
        <v>14.15</v>
      </c>
      <c r="E10" s="24">
        <v>18.239999999999998</v>
      </c>
      <c r="F10" s="63">
        <v>0.2796850455026455</v>
      </c>
      <c r="G10" s="44">
        <v>5.4</v>
      </c>
      <c r="H10" s="44">
        <v>6.5000000000000002E-2</v>
      </c>
      <c r="I10" s="45">
        <v>780</v>
      </c>
      <c r="J10" s="45">
        <v>130</v>
      </c>
      <c r="K10" s="46">
        <v>3.2</v>
      </c>
      <c r="L10" s="44">
        <v>21</v>
      </c>
      <c r="M10" s="44">
        <v>61</v>
      </c>
      <c r="N10" s="22"/>
      <c r="O10" s="1"/>
      <c r="P10" s="36"/>
      <c r="R10" s="66"/>
      <c r="S10" s="66"/>
      <c r="T10" s="8"/>
      <c r="V10" s="1"/>
      <c r="W10" s="5"/>
      <c r="X10" s="6"/>
      <c r="Y10" s="6"/>
      <c r="Z10" s="6"/>
      <c r="AA10" s="6"/>
      <c r="AB10" s="12"/>
      <c r="AC10" s="5"/>
      <c r="AD10" s="7"/>
      <c r="AE10" s="5"/>
      <c r="AF10" s="5"/>
    </row>
    <row r="11" spans="1:32">
      <c r="A11" s="4">
        <f t="shared" si="0"/>
        <v>10</v>
      </c>
      <c r="B11" s="24">
        <v>5.43</v>
      </c>
      <c r="C11" s="24">
        <v>0.22500000000000001</v>
      </c>
      <c r="D11" s="24">
        <v>12.38</v>
      </c>
      <c r="E11" s="24">
        <v>5.6</v>
      </c>
      <c r="F11" s="63">
        <v>0.29386360548393697</v>
      </c>
      <c r="G11" s="44">
        <v>5.4</v>
      </c>
      <c r="H11" s="44">
        <v>6.5000000000000002E-2</v>
      </c>
      <c r="I11" s="45">
        <v>780</v>
      </c>
      <c r="J11" s="45">
        <v>130</v>
      </c>
      <c r="K11" s="46">
        <v>3.2</v>
      </c>
      <c r="L11" s="44">
        <v>21</v>
      </c>
      <c r="M11" s="44">
        <v>61</v>
      </c>
      <c r="N11" s="22"/>
      <c r="O11" s="1"/>
      <c r="P11" s="36"/>
      <c r="R11" s="66"/>
      <c r="S11" s="66"/>
      <c r="T11" s="8"/>
      <c r="V11" s="1"/>
      <c r="W11" s="5"/>
      <c r="X11" s="6"/>
      <c r="Y11" s="6"/>
      <c r="Z11" s="6"/>
      <c r="AA11" s="6"/>
      <c r="AB11" s="12"/>
      <c r="AC11" s="5"/>
      <c r="AD11" s="7"/>
      <c r="AE11" s="5"/>
      <c r="AF11" s="5"/>
    </row>
    <row r="12" spans="1:32">
      <c r="A12" s="4">
        <f t="shared" si="0"/>
        <v>11</v>
      </c>
      <c r="B12" s="24">
        <v>4.3499999999999996</v>
      </c>
      <c r="C12" s="24">
        <v>0.22500000000000001</v>
      </c>
      <c r="D12" s="24">
        <v>17.32</v>
      </c>
      <c r="E12" s="24">
        <v>14.52</v>
      </c>
      <c r="F12" s="63">
        <v>0.29411011494252876</v>
      </c>
      <c r="G12" s="44">
        <v>5.4</v>
      </c>
      <c r="H12" s="44">
        <v>6.5000000000000002E-2</v>
      </c>
      <c r="I12" s="45">
        <v>780</v>
      </c>
      <c r="J12" s="45">
        <v>130</v>
      </c>
      <c r="K12" s="46">
        <v>3.2</v>
      </c>
      <c r="L12" s="44">
        <v>21</v>
      </c>
      <c r="M12" s="44">
        <v>61</v>
      </c>
      <c r="N12" s="22"/>
      <c r="O12" s="1"/>
      <c r="P12" s="36"/>
      <c r="R12" s="66"/>
      <c r="S12" s="66"/>
      <c r="T12" s="8"/>
      <c r="V12" s="1"/>
      <c r="W12" s="5"/>
      <c r="X12" s="6"/>
      <c r="Y12" s="6"/>
      <c r="Z12" s="6"/>
      <c r="AA12" s="6"/>
      <c r="AB12" s="12"/>
      <c r="AC12" s="5"/>
      <c r="AD12" s="7"/>
      <c r="AE12" s="5"/>
      <c r="AF12" s="5"/>
    </row>
    <row r="13" spans="1:32">
      <c r="A13" s="4">
        <f t="shared" si="0"/>
        <v>12</v>
      </c>
      <c r="B13" s="24">
        <v>2.59</v>
      </c>
      <c r="C13" s="24">
        <v>0.67499999999999993</v>
      </c>
      <c r="D13" s="24">
        <v>4.4000000000000004</v>
      </c>
      <c r="E13" s="24">
        <v>7.14</v>
      </c>
      <c r="F13" s="63">
        <v>0.23239545545545551</v>
      </c>
      <c r="G13" s="44">
        <v>5.4</v>
      </c>
      <c r="H13" s="44">
        <v>6.5000000000000002E-2</v>
      </c>
      <c r="I13" s="45">
        <v>780</v>
      </c>
      <c r="J13" s="45">
        <v>130</v>
      </c>
      <c r="K13" s="46">
        <v>3.2</v>
      </c>
      <c r="L13" s="44">
        <v>21</v>
      </c>
      <c r="M13" s="44">
        <v>148</v>
      </c>
      <c r="N13" s="22"/>
      <c r="O13" s="1"/>
      <c r="P13" s="36"/>
      <c r="R13" s="66"/>
      <c r="S13" s="66"/>
      <c r="T13" s="8"/>
      <c r="V13" s="1"/>
      <c r="W13" s="5"/>
      <c r="X13" s="6"/>
      <c r="Y13" s="6"/>
      <c r="Z13" s="6"/>
      <c r="AA13" s="6"/>
      <c r="AB13" s="12"/>
      <c r="AC13" s="5"/>
      <c r="AD13" s="7"/>
      <c r="AE13" s="5"/>
      <c r="AF13" s="5"/>
    </row>
    <row r="14" spans="1:32">
      <c r="A14" s="4">
        <f t="shared" si="0"/>
        <v>13</v>
      </c>
      <c r="B14" s="24">
        <v>2.29</v>
      </c>
      <c r="C14" s="24">
        <v>0.67499999999999993</v>
      </c>
      <c r="D14" s="24">
        <v>7.58</v>
      </c>
      <c r="E14" s="24">
        <v>5.16</v>
      </c>
      <c r="F14" s="63">
        <v>0.258187048358402</v>
      </c>
      <c r="G14" s="44">
        <v>5.4</v>
      </c>
      <c r="H14" s="44">
        <v>6.5000000000000002E-2</v>
      </c>
      <c r="I14" s="45">
        <v>780</v>
      </c>
      <c r="J14" s="45">
        <v>130</v>
      </c>
      <c r="K14" s="46">
        <v>3.2</v>
      </c>
      <c r="L14" s="44">
        <v>21</v>
      </c>
      <c r="M14" s="44">
        <v>148</v>
      </c>
      <c r="N14" s="22"/>
      <c r="O14" s="1"/>
      <c r="P14" s="36"/>
      <c r="R14" s="66"/>
      <c r="S14" s="66"/>
      <c r="T14" s="8"/>
      <c r="V14" s="1"/>
      <c r="W14" s="5"/>
      <c r="X14" s="6"/>
      <c r="Y14" s="6"/>
      <c r="Z14" s="6"/>
      <c r="AA14" s="6"/>
      <c r="AB14" s="12"/>
      <c r="AC14" s="5"/>
      <c r="AD14" s="7"/>
      <c r="AE14" s="5"/>
      <c r="AF14" s="5"/>
    </row>
    <row r="15" spans="1:32">
      <c r="A15" s="4">
        <f t="shared" si="0"/>
        <v>14</v>
      </c>
      <c r="B15" s="24">
        <v>2.27</v>
      </c>
      <c r="C15" s="24">
        <v>0.67499999999999993</v>
      </c>
      <c r="D15" s="24">
        <v>10.62</v>
      </c>
      <c r="E15" s="24">
        <v>3.28</v>
      </c>
      <c r="F15" s="63">
        <v>0.25859434818077992</v>
      </c>
      <c r="G15" s="44">
        <v>5.4</v>
      </c>
      <c r="H15" s="44">
        <v>6.5000000000000002E-2</v>
      </c>
      <c r="I15" s="45">
        <v>780</v>
      </c>
      <c r="J15" s="45">
        <v>130</v>
      </c>
      <c r="K15" s="46">
        <v>3.2</v>
      </c>
      <c r="L15" s="44">
        <v>21</v>
      </c>
      <c r="M15" s="44">
        <v>148</v>
      </c>
      <c r="N15" s="22"/>
      <c r="O15" s="1"/>
      <c r="P15" s="36"/>
      <c r="R15" s="66"/>
      <c r="S15" s="66"/>
      <c r="T15" s="8"/>
      <c r="V15" s="1"/>
      <c r="W15" s="5"/>
      <c r="X15" s="6"/>
      <c r="Y15" s="6"/>
      <c r="Z15" s="6"/>
      <c r="AA15" s="6"/>
      <c r="AB15" s="12"/>
      <c r="AC15" s="5"/>
      <c r="AD15" s="7"/>
      <c r="AE15" s="5"/>
      <c r="AF15" s="5"/>
    </row>
    <row r="16" spans="1:32">
      <c r="A16" s="4">
        <f t="shared" si="0"/>
        <v>15</v>
      </c>
      <c r="B16" s="24">
        <v>2.4500000000000002</v>
      </c>
      <c r="C16" s="24">
        <v>0.67499999999999993</v>
      </c>
      <c r="D16" s="24">
        <v>13.73</v>
      </c>
      <c r="E16" s="24">
        <v>1.34</v>
      </c>
      <c r="F16" s="63">
        <v>0.23356328042328045</v>
      </c>
      <c r="G16" s="44">
        <v>5.4</v>
      </c>
      <c r="H16" s="44">
        <v>6.5000000000000002E-2</v>
      </c>
      <c r="I16" s="45">
        <v>780</v>
      </c>
      <c r="J16" s="45">
        <v>130</v>
      </c>
      <c r="K16" s="46">
        <v>3.2</v>
      </c>
      <c r="L16" s="44">
        <v>21</v>
      </c>
      <c r="M16" s="44">
        <v>148</v>
      </c>
      <c r="N16" s="22"/>
      <c r="O16" s="1"/>
      <c r="P16" s="36"/>
      <c r="R16" s="66"/>
      <c r="S16" s="66"/>
      <c r="T16" s="8"/>
      <c r="V16" s="1"/>
      <c r="W16" s="5"/>
      <c r="X16" s="6"/>
      <c r="Y16" s="6"/>
      <c r="Z16" s="6"/>
      <c r="AA16" s="6"/>
      <c r="AB16" s="12"/>
      <c r="AC16" s="5"/>
      <c r="AD16" s="7"/>
      <c r="AE16" s="5"/>
      <c r="AF16" s="5"/>
    </row>
    <row r="17" spans="1:32">
      <c r="A17" s="4">
        <f t="shared" si="0"/>
        <v>16</v>
      </c>
      <c r="B17" s="24">
        <v>1.7</v>
      </c>
      <c r="C17" s="24">
        <v>0.77500000000000002</v>
      </c>
      <c r="D17" s="24">
        <v>16.53</v>
      </c>
      <c r="E17" s="24">
        <v>7.5</v>
      </c>
      <c r="F17" s="63">
        <v>0.32515673624288427</v>
      </c>
      <c r="G17" s="44">
        <v>5.4</v>
      </c>
      <c r="H17" s="44">
        <v>6.5000000000000002E-2</v>
      </c>
      <c r="I17" s="45">
        <v>780</v>
      </c>
      <c r="J17" s="45">
        <v>130</v>
      </c>
      <c r="K17" s="46">
        <v>3.2</v>
      </c>
      <c r="L17" s="44">
        <v>21</v>
      </c>
      <c r="M17" s="44">
        <v>61</v>
      </c>
      <c r="N17" s="22"/>
      <c r="O17" s="1"/>
      <c r="P17" s="36"/>
      <c r="R17" s="66"/>
      <c r="S17" s="66"/>
      <c r="T17" s="8"/>
      <c r="V17" s="1"/>
      <c r="W17" s="5"/>
      <c r="X17" s="6"/>
      <c r="Y17" s="6"/>
      <c r="Z17" s="6"/>
      <c r="AA17" s="6"/>
      <c r="AB17" s="12"/>
      <c r="AC17" s="5"/>
      <c r="AD17" s="7"/>
      <c r="AE17" s="5"/>
      <c r="AF17" s="5"/>
    </row>
    <row r="18" spans="1:32">
      <c r="A18" s="4">
        <f t="shared" si="0"/>
        <v>17</v>
      </c>
      <c r="B18" s="24">
        <v>1.49</v>
      </c>
      <c r="C18" s="24">
        <v>0.77500000000000002</v>
      </c>
      <c r="D18" s="24">
        <v>17.920000000000002</v>
      </c>
      <c r="E18" s="24">
        <v>9.93</v>
      </c>
      <c r="F18" s="63">
        <v>0.29867932452911888</v>
      </c>
      <c r="G18" s="44">
        <v>5.4</v>
      </c>
      <c r="H18" s="44">
        <v>6.5000000000000002E-2</v>
      </c>
      <c r="I18" s="45">
        <v>780</v>
      </c>
      <c r="J18" s="45">
        <v>130</v>
      </c>
      <c r="K18" s="46">
        <v>3.2</v>
      </c>
      <c r="L18" s="44">
        <v>21</v>
      </c>
      <c r="M18" s="44">
        <v>61</v>
      </c>
      <c r="N18" s="22"/>
      <c r="O18" s="1"/>
      <c r="P18" s="36"/>
      <c r="R18" s="66"/>
      <c r="S18" s="66"/>
      <c r="T18" s="8"/>
      <c r="V18" s="1"/>
      <c r="W18" s="5"/>
      <c r="X18" s="6"/>
      <c r="Y18" s="6"/>
      <c r="Z18" s="6"/>
      <c r="AA18" s="6"/>
      <c r="AB18" s="12"/>
      <c r="AC18" s="5"/>
      <c r="AD18" s="7"/>
      <c r="AE18" s="5"/>
      <c r="AF18" s="5"/>
    </row>
    <row r="19" spans="1:32">
      <c r="A19" s="4">
        <f t="shared" si="0"/>
        <v>18</v>
      </c>
      <c r="B19" s="24">
        <v>0.79</v>
      </c>
      <c r="C19" s="24">
        <v>0.53500000000000003</v>
      </c>
      <c r="D19" s="24">
        <v>14.19</v>
      </c>
      <c r="E19" s="24">
        <v>1.75</v>
      </c>
      <c r="F19" s="63">
        <v>0.33217654797113449</v>
      </c>
      <c r="G19" s="44">
        <v>5.4</v>
      </c>
      <c r="H19" s="44">
        <v>6.5000000000000002E-2</v>
      </c>
      <c r="I19" s="45">
        <v>780</v>
      </c>
      <c r="J19" s="45">
        <v>130</v>
      </c>
      <c r="K19" s="46">
        <v>3.2</v>
      </c>
      <c r="L19" s="44">
        <v>21</v>
      </c>
      <c r="M19" s="44">
        <v>61</v>
      </c>
      <c r="N19" s="22"/>
      <c r="O19" s="1"/>
      <c r="P19" s="36"/>
      <c r="R19" s="66"/>
      <c r="S19" s="66"/>
      <c r="T19" s="8"/>
      <c r="V19" s="1"/>
      <c r="W19" s="5"/>
      <c r="X19" s="6"/>
      <c r="Y19" s="6"/>
      <c r="Z19" s="6"/>
      <c r="AA19" s="6"/>
      <c r="AB19" s="12"/>
      <c r="AC19" s="5"/>
      <c r="AD19" s="7"/>
      <c r="AE19" s="5"/>
      <c r="AF19" s="5"/>
    </row>
    <row r="20" spans="1:32">
      <c r="A20" s="4">
        <f t="shared" si="0"/>
        <v>19</v>
      </c>
      <c r="B20" s="24">
        <v>2.95</v>
      </c>
      <c r="C20" s="24">
        <v>0.53500000000000003</v>
      </c>
      <c r="D20" s="24">
        <v>16.05</v>
      </c>
      <c r="E20" s="24">
        <v>4.9800000000000004</v>
      </c>
      <c r="F20" s="63">
        <v>0.24140472105179789</v>
      </c>
      <c r="G20" s="44">
        <v>5.4</v>
      </c>
      <c r="H20" s="44">
        <v>6.5000000000000002E-2</v>
      </c>
      <c r="I20" s="45">
        <v>780</v>
      </c>
      <c r="J20" s="45">
        <v>130</v>
      </c>
      <c r="K20" s="46">
        <v>3.2</v>
      </c>
      <c r="L20" s="44">
        <v>21</v>
      </c>
      <c r="M20" s="44">
        <v>61</v>
      </c>
      <c r="N20" s="22"/>
      <c r="O20" s="1"/>
      <c r="P20" s="36"/>
      <c r="R20" s="66"/>
      <c r="S20" s="66"/>
      <c r="T20" s="8"/>
      <c r="V20" s="1"/>
      <c r="W20" s="5"/>
      <c r="X20" s="6"/>
      <c r="Y20" s="6"/>
      <c r="Z20" s="6"/>
      <c r="AA20" s="6"/>
      <c r="AB20" s="12"/>
      <c r="AC20" s="5"/>
      <c r="AD20" s="7"/>
      <c r="AE20" s="5"/>
      <c r="AF20" s="5"/>
    </row>
    <row r="21" spans="1:32">
      <c r="A21" s="4">
        <f t="shared" si="0"/>
        <v>20</v>
      </c>
      <c r="B21" s="24">
        <v>1</v>
      </c>
      <c r="C21" s="24">
        <v>0.48</v>
      </c>
      <c r="D21" s="24">
        <v>6.77</v>
      </c>
      <c r="E21" s="24">
        <v>22.86</v>
      </c>
      <c r="F21" s="63">
        <v>0.30829999999999996</v>
      </c>
      <c r="G21" s="44">
        <v>5.4</v>
      </c>
      <c r="H21" s="44">
        <v>6.5000000000000002E-2</v>
      </c>
      <c r="I21" s="45">
        <v>780</v>
      </c>
      <c r="J21" s="45">
        <v>130</v>
      </c>
      <c r="K21" s="46">
        <v>3.2</v>
      </c>
      <c r="L21" s="44">
        <v>21</v>
      </c>
      <c r="M21" s="44">
        <v>62</v>
      </c>
      <c r="N21" s="22"/>
      <c r="O21" s="1"/>
      <c r="P21" s="36"/>
      <c r="R21" s="66"/>
      <c r="S21" s="66"/>
      <c r="T21" s="8"/>
      <c r="V21" s="1"/>
      <c r="W21" s="5"/>
      <c r="X21" s="6"/>
      <c r="Y21" s="6"/>
      <c r="Z21" s="6"/>
      <c r="AA21" s="6"/>
      <c r="AB21" s="12"/>
      <c r="AC21" s="5"/>
      <c r="AD21" s="7"/>
      <c r="AE21" s="5"/>
      <c r="AF21" s="5"/>
    </row>
    <row r="22" spans="1:32">
      <c r="A22" s="4">
        <f t="shared" si="0"/>
        <v>21</v>
      </c>
      <c r="B22" s="24">
        <v>1.3</v>
      </c>
      <c r="C22" s="24">
        <v>0.48</v>
      </c>
      <c r="D22" s="24">
        <v>5.4</v>
      </c>
      <c r="E22" s="24">
        <v>20.350000000000001</v>
      </c>
      <c r="F22" s="63">
        <v>0.37540000000000001</v>
      </c>
      <c r="G22" s="44">
        <v>5.4</v>
      </c>
      <c r="H22" s="44">
        <v>6.5000000000000002E-2</v>
      </c>
      <c r="I22" s="45">
        <v>780</v>
      </c>
      <c r="J22" s="45">
        <v>130</v>
      </c>
      <c r="K22" s="46">
        <v>3.2</v>
      </c>
      <c r="L22" s="44">
        <v>21</v>
      </c>
      <c r="M22" s="44">
        <v>62</v>
      </c>
      <c r="N22" s="22"/>
      <c r="O22" s="1"/>
      <c r="P22" s="36"/>
      <c r="R22" s="66"/>
      <c r="S22" s="66"/>
      <c r="T22" s="8"/>
      <c r="V22" s="1"/>
      <c r="W22" s="5"/>
      <c r="X22" s="6"/>
      <c r="Y22" s="6"/>
      <c r="Z22" s="6"/>
      <c r="AA22" s="6"/>
      <c r="AB22" s="12"/>
      <c r="AC22" s="5"/>
      <c r="AD22" s="7"/>
      <c r="AE22" s="5"/>
      <c r="AF22" s="5"/>
    </row>
    <row r="23" spans="1:32">
      <c r="A23" s="4">
        <f t="shared" si="0"/>
        <v>22</v>
      </c>
      <c r="B23" s="24">
        <v>1.6</v>
      </c>
      <c r="C23" s="24">
        <v>0.48</v>
      </c>
      <c r="D23" s="24">
        <v>3.91</v>
      </c>
      <c r="E23" s="24">
        <v>17.61</v>
      </c>
      <c r="F23" s="63">
        <v>0.3145</v>
      </c>
      <c r="G23" s="44">
        <v>5.4</v>
      </c>
      <c r="H23" s="44">
        <v>6.5000000000000002E-2</v>
      </c>
      <c r="I23" s="45">
        <v>780</v>
      </c>
      <c r="J23" s="45">
        <v>130</v>
      </c>
      <c r="K23" s="46">
        <v>3.2</v>
      </c>
      <c r="L23" s="44">
        <v>21</v>
      </c>
      <c r="M23" s="44">
        <v>62</v>
      </c>
      <c r="N23" s="22"/>
      <c r="O23" s="1"/>
      <c r="P23" s="36"/>
      <c r="R23" s="66"/>
      <c r="S23" s="66"/>
      <c r="T23" s="8"/>
      <c r="V23" s="1"/>
      <c r="W23" s="5"/>
      <c r="X23" s="6"/>
      <c r="Y23" s="6"/>
      <c r="Z23" s="6"/>
      <c r="AA23" s="6"/>
      <c r="AB23" s="12"/>
      <c r="AC23" s="5"/>
      <c r="AD23" s="7"/>
      <c r="AE23" s="5"/>
      <c r="AF23" s="5"/>
    </row>
    <row r="24" spans="1:32">
      <c r="A24" s="4">
        <f t="shared" si="0"/>
        <v>23</v>
      </c>
      <c r="B24" s="24">
        <v>0.7</v>
      </c>
      <c r="C24" s="24">
        <v>0.48</v>
      </c>
      <c r="D24" s="24">
        <v>2.89</v>
      </c>
      <c r="E24" s="24">
        <v>15.7</v>
      </c>
      <c r="F24" s="63">
        <v>0.54799999999999993</v>
      </c>
      <c r="G24" s="44">
        <v>5.4</v>
      </c>
      <c r="H24" s="44">
        <v>6.5000000000000002E-2</v>
      </c>
      <c r="I24" s="45">
        <v>780</v>
      </c>
      <c r="J24" s="45">
        <v>130</v>
      </c>
      <c r="K24" s="46">
        <v>3.2</v>
      </c>
      <c r="L24" s="44">
        <v>21</v>
      </c>
      <c r="M24" s="44">
        <v>62</v>
      </c>
      <c r="N24" s="22"/>
      <c r="O24" s="1"/>
      <c r="P24" s="36"/>
      <c r="R24" s="66"/>
      <c r="S24" s="66"/>
      <c r="T24" s="8"/>
      <c r="V24" s="1"/>
      <c r="W24" s="5"/>
      <c r="X24" s="6"/>
      <c r="Y24" s="6"/>
      <c r="Z24" s="6"/>
      <c r="AA24" s="6"/>
      <c r="AB24" s="12"/>
      <c r="AC24" s="5"/>
      <c r="AD24" s="7"/>
      <c r="AE24" s="5"/>
      <c r="AF24" s="5"/>
    </row>
    <row r="25" spans="1:32">
      <c r="A25" s="4">
        <f t="shared" si="0"/>
        <v>24</v>
      </c>
      <c r="B25" s="24">
        <v>1.8</v>
      </c>
      <c r="C25" s="24">
        <v>0.48</v>
      </c>
      <c r="D25" s="24">
        <v>0.81</v>
      </c>
      <c r="E25" s="24">
        <v>11.87</v>
      </c>
      <c r="F25" s="63">
        <v>0.31370000000000003</v>
      </c>
      <c r="G25" s="44">
        <v>5.4</v>
      </c>
      <c r="H25" s="44">
        <v>6.5000000000000002E-2</v>
      </c>
      <c r="I25" s="45">
        <v>780</v>
      </c>
      <c r="J25" s="45">
        <v>130</v>
      </c>
      <c r="K25" s="46">
        <v>3.2</v>
      </c>
      <c r="L25" s="44">
        <v>21</v>
      </c>
      <c r="M25" s="44">
        <v>62</v>
      </c>
      <c r="N25" s="22"/>
      <c r="O25" s="1"/>
      <c r="P25" s="36"/>
      <c r="R25" s="66"/>
      <c r="S25" s="66"/>
      <c r="T25" s="8"/>
      <c r="V25" s="1"/>
      <c r="W25" s="5"/>
      <c r="X25" s="6"/>
      <c r="Y25" s="6"/>
      <c r="Z25" s="6"/>
      <c r="AA25" s="6"/>
      <c r="AB25" s="12"/>
      <c r="AC25" s="5"/>
      <c r="AD25" s="7"/>
      <c r="AE25" s="5"/>
      <c r="AF25" s="5"/>
    </row>
    <row r="26" spans="1:32">
      <c r="A26" s="4">
        <f t="shared" si="0"/>
        <v>25</v>
      </c>
      <c r="B26" s="24">
        <v>1.3</v>
      </c>
      <c r="C26" s="24">
        <v>0.375</v>
      </c>
      <c r="D26" s="24">
        <v>21.39</v>
      </c>
      <c r="E26" s="24">
        <v>15.02</v>
      </c>
      <c r="F26" s="63">
        <v>0.25040758974358973</v>
      </c>
      <c r="G26" s="44">
        <v>5.4</v>
      </c>
      <c r="H26" s="44">
        <v>6.5000000000000002E-2</v>
      </c>
      <c r="I26" s="45">
        <v>780</v>
      </c>
      <c r="J26" s="45">
        <v>130</v>
      </c>
      <c r="K26" s="46">
        <v>3.2</v>
      </c>
      <c r="L26" s="44">
        <v>21</v>
      </c>
      <c r="M26" s="44">
        <v>151</v>
      </c>
      <c r="N26" s="22"/>
      <c r="O26" s="1"/>
      <c r="P26" s="36"/>
      <c r="R26" s="66"/>
      <c r="S26" s="66"/>
      <c r="T26" s="8"/>
      <c r="W26" s="5"/>
      <c r="X26" s="6"/>
      <c r="Y26" s="6"/>
      <c r="Z26" s="6"/>
      <c r="AA26" s="6"/>
      <c r="AB26" s="12"/>
      <c r="AC26" s="5"/>
      <c r="AD26" s="7"/>
      <c r="AE26" s="5"/>
      <c r="AF26" s="5"/>
    </row>
    <row r="27" spans="1:32">
      <c r="A27" s="4">
        <f t="shared" si="0"/>
        <v>26</v>
      </c>
      <c r="B27" s="24">
        <v>2.6</v>
      </c>
      <c r="C27" s="24">
        <v>0.375</v>
      </c>
      <c r="D27" s="24">
        <v>18.64</v>
      </c>
      <c r="E27" s="24">
        <v>16.559999999999999</v>
      </c>
      <c r="F27" s="63">
        <v>0.24906843589743588</v>
      </c>
      <c r="G27" s="44">
        <v>5.4</v>
      </c>
      <c r="H27" s="44">
        <v>6.5000000000000002E-2</v>
      </c>
      <c r="I27" s="45">
        <v>780</v>
      </c>
      <c r="J27" s="45">
        <v>130</v>
      </c>
      <c r="K27" s="46">
        <v>3.2</v>
      </c>
      <c r="L27" s="44">
        <v>21</v>
      </c>
      <c r="M27" s="44">
        <v>151</v>
      </c>
      <c r="N27" s="22"/>
      <c r="O27" s="1"/>
      <c r="P27" s="36"/>
      <c r="R27" s="66"/>
      <c r="S27" s="66"/>
      <c r="T27" s="8"/>
      <c r="W27" s="5"/>
      <c r="X27" s="6"/>
      <c r="Y27" s="6"/>
      <c r="Z27" s="6"/>
      <c r="AA27" s="6"/>
      <c r="AB27" s="12"/>
      <c r="AC27" s="5"/>
      <c r="AD27" s="7"/>
      <c r="AE27" s="5"/>
      <c r="AF27" s="5"/>
    </row>
    <row r="28" spans="1:32">
      <c r="A28" s="4">
        <f t="shared" si="0"/>
        <v>27</v>
      </c>
      <c r="B28" s="24">
        <v>2.4</v>
      </c>
      <c r="C28" s="24">
        <v>0.375</v>
      </c>
      <c r="D28" s="24">
        <v>14.66</v>
      </c>
      <c r="E28" s="24">
        <v>18.8</v>
      </c>
      <c r="F28" s="57">
        <v>0.25099316666666666</v>
      </c>
      <c r="G28" s="44">
        <v>5.4</v>
      </c>
      <c r="H28" s="44">
        <v>6.5000000000000002E-2</v>
      </c>
      <c r="I28" s="45">
        <v>780</v>
      </c>
      <c r="J28" s="45">
        <v>130</v>
      </c>
      <c r="K28" s="46">
        <v>3.2</v>
      </c>
      <c r="L28" s="44">
        <v>21</v>
      </c>
      <c r="M28" s="44">
        <v>151</v>
      </c>
      <c r="N28" s="22"/>
      <c r="O28" s="1"/>
      <c r="P28" s="36"/>
      <c r="R28" s="66"/>
      <c r="S28" s="66"/>
      <c r="T28" s="8"/>
      <c r="W28" s="5"/>
      <c r="X28" s="6"/>
      <c r="Y28" s="6"/>
      <c r="Z28" s="6"/>
      <c r="AA28" s="6"/>
      <c r="AB28" s="12"/>
      <c r="AC28" s="5"/>
      <c r="AD28" s="7"/>
      <c r="AE28" s="5"/>
      <c r="AF28" s="5"/>
    </row>
    <row r="29" spans="1:32">
      <c r="A29" s="4">
        <f t="shared" si="0"/>
        <v>28</v>
      </c>
      <c r="B29" s="24">
        <v>2.5499999999999998</v>
      </c>
      <c r="C29" s="24">
        <v>0.375</v>
      </c>
      <c r="D29" s="24">
        <v>10.64</v>
      </c>
      <c r="E29" s="24">
        <v>21.04</v>
      </c>
      <c r="F29" s="57">
        <v>0.26147479738562096</v>
      </c>
      <c r="G29" s="44">
        <v>5.4</v>
      </c>
      <c r="H29" s="44">
        <v>6.5000000000000002E-2</v>
      </c>
      <c r="I29" s="45">
        <v>780</v>
      </c>
      <c r="J29" s="45">
        <v>130</v>
      </c>
      <c r="K29" s="46">
        <v>3.2</v>
      </c>
      <c r="L29" s="44">
        <v>21</v>
      </c>
      <c r="M29" s="44">
        <v>151</v>
      </c>
      <c r="N29" s="22"/>
      <c r="O29" s="1"/>
      <c r="P29" s="36"/>
      <c r="R29" s="66"/>
      <c r="S29" s="66"/>
      <c r="T29" s="8"/>
      <c r="W29" s="5"/>
      <c r="X29" s="6"/>
      <c r="Y29" s="6"/>
      <c r="Z29" s="6"/>
      <c r="AA29" s="6"/>
      <c r="AB29" s="12"/>
      <c r="AC29" s="5"/>
      <c r="AD29" s="7"/>
      <c r="AE29" s="5"/>
      <c r="AF29" s="5"/>
    </row>
    <row r="30" spans="1:32">
      <c r="A30" s="4">
        <f t="shared" si="0"/>
        <v>29</v>
      </c>
      <c r="B30" s="24">
        <v>1.78</v>
      </c>
      <c r="C30" s="24">
        <v>0.375</v>
      </c>
      <c r="D30" s="24">
        <v>7.7</v>
      </c>
      <c r="E30" s="24">
        <v>22.69</v>
      </c>
      <c r="F30" s="57">
        <v>0.25289075655430709</v>
      </c>
      <c r="G30" s="44">
        <v>5.4</v>
      </c>
      <c r="H30" s="44">
        <v>6.5000000000000002E-2</v>
      </c>
      <c r="I30" s="45">
        <v>780</v>
      </c>
      <c r="J30" s="45">
        <v>130</v>
      </c>
      <c r="K30" s="46">
        <v>3.2</v>
      </c>
      <c r="L30" s="44">
        <v>21</v>
      </c>
      <c r="M30" s="44">
        <v>151</v>
      </c>
      <c r="N30" s="22"/>
      <c r="O30" s="1"/>
      <c r="P30" s="36"/>
      <c r="R30" s="66"/>
      <c r="S30" s="66"/>
      <c r="T30" s="8"/>
      <c r="W30" s="5"/>
      <c r="X30" s="6"/>
      <c r="Y30" s="6"/>
      <c r="Z30" s="6"/>
      <c r="AA30" s="6"/>
      <c r="AB30" s="12"/>
      <c r="AC30" s="5"/>
      <c r="AD30" s="7"/>
      <c r="AE30" s="5"/>
      <c r="AF30" s="5"/>
    </row>
    <row r="31" spans="1:32">
      <c r="A31" s="4">
        <f t="shared" si="0"/>
        <v>30</v>
      </c>
      <c r="B31" s="24">
        <v>2.65</v>
      </c>
      <c r="C31" s="24">
        <v>0.16500000000000001</v>
      </c>
      <c r="D31" s="24">
        <v>5.05</v>
      </c>
      <c r="E31" s="24">
        <v>16.41</v>
      </c>
      <c r="F31" s="57">
        <v>0.21551515151515155</v>
      </c>
      <c r="G31" s="44">
        <v>5.4</v>
      </c>
      <c r="H31" s="44">
        <v>6.5000000000000002E-2</v>
      </c>
      <c r="I31" s="45">
        <v>780</v>
      </c>
      <c r="J31" s="45">
        <v>130</v>
      </c>
      <c r="K31" s="46">
        <v>3.2</v>
      </c>
      <c r="L31" s="44">
        <v>21</v>
      </c>
      <c r="M31" s="44">
        <v>152</v>
      </c>
      <c r="N31" s="22"/>
      <c r="O31" s="1"/>
      <c r="P31" s="36"/>
      <c r="R31" s="66"/>
      <c r="S31" s="66"/>
      <c r="T31" s="8"/>
      <c r="W31" s="5"/>
      <c r="X31" s="6"/>
      <c r="Y31" s="6"/>
      <c r="Z31" s="6"/>
      <c r="AA31" s="6"/>
      <c r="AB31" s="12"/>
      <c r="AC31" s="5"/>
      <c r="AD31" s="7"/>
      <c r="AE31" s="5"/>
      <c r="AF31" s="5"/>
    </row>
    <row r="32" spans="1:32">
      <c r="A32" s="4">
        <f t="shared" si="0"/>
        <v>31</v>
      </c>
      <c r="B32" s="24">
        <v>1.7</v>
      </c>
      <c r="C32" s="24">
        <v>0.47499999999999998</v>
      </c>
      <c r="D32" s="24">
        <v>0.91</v>
      </c>
      <c r="E32" s="24">
        <v>10.74</v>
      </c>
      <c r="F32" s="57">
        <v>0.25239525077399377</v>
      </c>
      <c r="G32" s="44">
        <v>5.4</v>
      </c>
      <c r="H32" s="44">
        <v>6.5000000000000002E-2</v>
      </c>
      <c r="I32" s="45">
        <v>780</v>
      </c>
      <c r="J32" s="45">
        <v>130</v>
      </c>
      <c r="K32" s="46">
        <v>3.2</v>
      </c>
      <c r="L32" s="44">
        <v>21</v>
      </c>
      <c r="M32" s="44">
        <v>129</v>
      </c>
      <c r="N32" s="22"/>
      <c r="O32" s="1"/>
      <c r="P32" s="36"/>
      <c r="R32" s="66"/>
      <c r="S32" s="66"/>
      <c r="T32" s="8"/>
      <c r="W32" s="5"/>
      <c r="X32" s="6"/>
      <c r="Y32" s="6"/>
      <c r="Z32" s="6"/>
      <c r="AA32" s="6"/>
      <c r="AB32" s="12"/>
      <c r="AC32" s="5"/>
      <c r="AD32" s="7"/>
      <c r="AE32" s="5"/>
      <c r="AF32" s="5"/>
    </row>
    <row r="33" spans="1:32">
      <c r="A33" s="4">
        <f t="shared" si="0"/>
        <v>32</v>
      </c>
      <c r="B33" s="24">
        <v>2</v>
      </c>
      <c r="C33" s="24">
        <v>0.47499999999999998</v>
      </c>
      <c r="D33" s="24">
        <v>2.69</v>
      </c>
      <c r="E33" s="24">
        <v>8.51</v>
      </c>
      <c r="F33" s="57">
        <v>0.24383595894736843</v>
      </c>
      <c r="G33" s="44">
        <v>5.4</v>
      </c>
      <c r="H33" s="44">
        <v>6.5000000000000002E-2</v>
      </c>
      <c r="I33" s="45">
        <v>780</v>
      </c>
      <c r="J33" s="45">
        <v>130</v>
      </c>
      <c r="K33" s="46">
        <v>3.2</v>
      </c>
      <c r="L33" s="44">
        <v>21</v>
      </c>
      <c r="M33" s="44">
        <v>129</v>
      </c>
      <c r="N33" s="22"/>
      <c r="O33" s="1"/>
      <c r="P33" s="36"/>
      <c r="R33" s="66"/>
      <c r="S33" s="66"/>
      <c r="T33" s="8"/>
      <c r="V33" s="2"/>
      <c r="W33" s="5"/>
      <c r="X33" s="6"/>
      <c r="Y33" s="6"/>
      <c r="Z33" s="6"/>
      <c r="AA33" s="6"/>
      <c r="AB33" s="12"/>
      <c r="AC33" s="5"/>
      <c r="AD33" s="7"/>
      <c r="AE33" s="5"/>
      <c r="AF33" s="5"/>
    </row>
    <row r="34" spans="1:32">
      <c r="A34" s="4">
        <f t="shared" si="0"/>
        <v>33</v>
      </c>
      <c r="B34" s="24">
        <v>2.5499999999999998</v>
      </c>
      <c r="C34" s="24">
        <v>0.44499999999999995</v>
      </c>
      <c r="D34" s="24">
        <v>20.61</v>
      </c>
      <c r="E34" s="24">
        <v>12.18</v>
      </c>
      <c r="F34" s="57">
        <v>0.37470004230006621</v>
      </c>
      <c r="G34" s="44">
        <v>5.4</v>
      </c>
      <c r="H34" s="44">
        <v>6.5000000000000002E-2</v>
      </c>
      <c r="I34" s="45">
        <v>780</v>
      </c>
      <c r="J34" s="45">
        <v>130</v>
      </c>
      <c r="K34" s="46">
        <v>3.2</v>
      </c>
      <c r="L34" s="44">
        <v>21</v>
      </c>
      <c r="M34" s="44">
        <v>61</v>
      </c>
      <c r="N34" s="22"/>
      <c r="O34" s="1"/>
      <c r="P34" s="36"/>
      <c r="R34" s="66"/>
      <c r="S34" s="66"/>
      <c r="T34" s="8"/>
      <c r="V34" s="2"/>
      <c r="W34" s="5"/>
      <c r="X34" s="6"/>
      <c r="Y34" s="6"/>
      <c r="Z34" s="6"/>
      <c r="AA34" s="6"/>
      <c r="AB34" s="12"/>
      <c r="AC34" s="5"/>
      <c r="AD34" s="7"/>
      <c r="AE34" s="5"/>
      <c r="AF34" s="5"/>
    </row>
    <row r="35" spans="1:32">
      <c r="A35" s="4">
        <f t="shared" si="0"/>
        <v>34</v>
      </c>
      <c r="B35" s="24">
        <v>1.68</v>
      </c>
      <c r="C35" s="24">
        <v>0.16500000000000001</v>
      </c>
      <c r="D35" s="24">
        <v>9.23</v>
      </c>
      <c r="E35" s="24">
        <v>14.12</v>
      </c>
      <c r="F35" s="57">
        <v>0.250029329004329</v>
      </c>
      <c r="G35" s="44">
        <v>5.4</v>
      </c>
      <c r="H35" s="44">
        <v>6.5000000000000002E-2</v>
      </c>
      <c r="I35" s="45">
        <v>780</v>
      </c>
      <c r="J35" s="45">
        <v>130</v>
      </c>
      <c r="K35" s="46">
        <v>3.2</v>
      </c>
      <c r="L35" s="44">
        <v>21</v>
      </c>
      <c r="M35" s="44">
        <v>152</v>
      </c>
      <c r="N35" s="22"/>
      <c r="O35" s="1"/>
      <c r="P35" s="36"/>
      <c r="R35" s="66"/>
      <c r="S35" s="66"/>
      <c r="T35" s="8"/>
      <c r="V35" s="2"/>
      <c r="W35" s="5"/>
      <c r="X35" s="6"/>
      <c r="Y35" s="6"/>
      <c r="Z35" s="6"/>
      <c r="AA35" s="6"/>
      <c r="AB35" s="12"/>
      <c r="AC35" s="5"/>
      <c r="AD35" s="7"/>
      <c r="AE35" s="5"/>
      <c r="AF35" s="5"/>
    </row>
    <row r="36" spans="1:32">
      <c r="A36" s="4">
        <f t="shared" si="0"/>
        <v>35</v>
      </c>
      <c r="B36" s="24">
        <v>1.04</v>
      </c>
      <c r="C36" s="24">
        <v>0.155</v>
      </c>
      <c r="D36" s="24">
        <v>12.5</v>
      </c>
      <c r="E36" s="24">
        <v>13.74</v>
      </c>
      <c r="F36" s="57">
        <v>0.15192339330024812</v>
      </c>
      <c r="G36" s="44">
        <v>5.4</v>
      </c>
      <c r="H36" s="44">
        <v>6.3E-2</v>
      </c>
      <c r="I36" s="45">
        <v>756</v>
      </c>
      <c r="J36" s="45">
        <v>126</v>
      </c>
      <c r="K36" s="46">
        <v>2.41</v>
      </c>
      <c r="L36" s="44">
        <v>18</v>
      </c>
      <c r="M36" s="44">
        <v>150</v>
      </c>
      <c r="N36" s="22"/>
      <c r="O36" s="1"/>
      <c r="P36" s="36"/>
      <c r="R36" s="66"/>
      <c r="S36" s="66"/>
      <c r="T36" s="8"/>
      <c r="V36" s="2"/>
      <c r="W36" s="5"/>
      <c r="X36" s="6"/>
      <c r="Y36" s="6"/>
      <c r="Z36" s="6"/>
      <c r="AA36" s="6"/>
      <c r="AB36" s="12"/>
      <c r="AC36" s="5"/>
      <c r="AD36" s="7"/>
      <c r="AE36" s="5"/>
      <c r="AF36" s="5"/>
    </row>
    <row r="37" spans="1:32">
      <c r="A37" s="4">
        <f t="shared" si="0"/>
        <v>36</v>
      </c>
      <c r="B37" s="24">
        <v>1.57</v>
      </c>
      <c r="C37" s="24">
        <v>0.155</v>
      </c>
      <c r="D37" s="24">
        <v>10.8</v>
      </c>
      <c r="E37" s="24">
        <v>10.029999999999999</v>
      </c>
      <c r="F37" s="57">
        <v>0.15302219847955623</v>
      </c>
      <c r="G37" s="44">
        <v>5.4</v>
      </c>
      <c r="H37" s="44">
        <v>6.3E-2</v>
      </c>
      <c r="I37" s="45">
        <v>756</v>
      </c>
      <c r="J37" s="45">
        <v>126</v>
      </c>
      <c r="K37" s="46">
        <v>2.41</v>
      </c>
      <c r="L37" s="44">
        <v>18</v>
      </c>
      <c r="M37" s="44">
        <v>151</v>
      </c>
      <c r="N37" s="22"/>
      <c r="O37" s="1"/>
      <c r="P37" s="36"/>
      <c r="R37" s="66"/>
      <c r="S37" s="66"/>
      <c r="T37" s="8"/>
      <c r="V37" s="2"/>
      <c r="W37" s="5"/>
      <c r="X37" s="6"/>
      <c r="Y37" s="6"/>
      <c r="Z37" s="6"/>
      <c r="AA37" s="6"/>
      <c r="AB37" s="12"/>
      <c r="AC37" s="5"/>
      <c r="AD37" s="7"/>
      <c r="AE37" s="5"/>
      <c r="AF37" s="5"/>
    </row>
    <row r="38" spans="1:32">
      <c r="A38" s="4">
        <f t="shared" si="0"/>
        <v>37</v>
      </c>
      <c r="B38" s="24">
        <v>1.1100000000000001</v>
      </c>
      <c r="C38" s="24">
        <v>0.155</v>
      </c>
      <c r="D38" s="24">
        <v>15.38</v>
      </c>
      <c r="E38" s="24">
        <v>7.44</v>
      </c>
      <c r="F38" s="57">
        <v>0.17087514675966289</v>
      </c>
      <c r="G38" s="44">
        <v>5.4</v>
      </c>
      <c r="H38" s="44">
        <v>6.3E-2</v>
      </c>
      <c r="I38" s="45">
        <v>756</v>
      </c>
      <c r="J38" s="45">
        <v>126</v>
      </c>
      <c r="K38" s="46">
        <v>2.41</v>
      </c>
      <c r="L38" s="44">
        <v>18</v>
      </c>
      <c r="M38" s="44">
        <v>151</v>
      </c>
      <c r="N38" s="22"/>
      <c r="O38" s="1"/>
      <c r="P38" s="36"/>
      <c r="R38" s="66"/>
      <c r="S38" s="66"/>
      <c r="T38" s="8"/>
      <c r="V38" s="2"/>
      <c r="W38" s="5"/>
      <c r="X38" s="6"/>
      <c r="Y38" s="6"/>
      <c r="Z38" s="6"/>
      <c r="AA38" s="6"/>
      <c r="AB38" s="12"/>
      <c r="AC38" s="5"/>
      <c r="AD38" s="7"/>
      <c r="AE38" s="5"/>
      <c r="AF38" s="5"/>
    </row>
    <row r="39" spans="1:32" s="34" customFormat="1" ht="15" thickBot="1">
      <c r="A39" s="39">
        <f t="shared" si="0"/>
        <v>38</v>
      </c>
      <c r="B39" s="40">
        <v>1.1200000000000001</v>
      </c>
      <c r="C39" s="40">
        <v>0.44499999999999995</v>
      </c>
      <c r="D39" s="40">
        <v>19.73</v>
      </c>
      <c r="E39" s="40">
        <v>10.66</v>
      </c>
      <c r="F39" s="58">
        <v>0.13581392455858743</v>
      </c>
      <c r="G39" s="48">
        <v>5.4</v>
      </c>
      <c r="H39" s="44">
        <v>6.5000000000000002E-2</v>
      </c>
      <c r="I39" s="49">
        <v>780</v>
      </c>
      <c r="J39" s="49">
        <v>130</v>
      </c>
      <c r="K39" s="59">
        <v>3.2</v>
      </c>
      <c r="L39" s="48">
        <v>21</v>
      </c>
      <c r="M39" s="48">
        <v>61</v>
      </c>
      <c r="N39" s="28"/>
      <c r="O39" s="1"/>
      <c r="P39" s="36"/>
      <c r="Q39"/>
      <c r="R39" s="66"/>
      <c r="S39" s="66"/>
      <c r="T39" s="8"/>
      <c r="U39"/>
      <c r="V39" s="29"/>
      <c r="W39" s="30"/>
      <c r="X39" s="31"/>
      <c r="Y39" s="31"/>
      <c r="Z39" s="31"/>
      <c r="AA39" s="31"/>
      <c r="AB39" s="32"/>
      <c r="AC39" s="30"/>
      <c r="AD39" s="33"/>
      <c r="AE39" s="30"/>
      <c r="AF39" s="30"/>
    </row>
    <row r="40" spans="1:32">
      <c r="A40" s="37">
        <f t="shared" si="0"/>
        <v>39</v>
      </c>
      <c r="B40" s="38">
        <v>3.6</v>
      </c>
      <c r="C40" s="38">
        <v>0.46499999999999997</v>
      </c>
      <c r="D40" s="38">
        <v>20.51</v>
      </c>
      <c r="E40" s="38">
        <v>9.9499999999999993</v>
      </c>
      <c r="F40" s="60">
        <v>0.28878257168458782</v>
      </c>
      <c r="G40" s="51">
        <v>5.4</v>
      </c>
      <c r="H40" s="44">
        <v>6.5000000000000002E-2</v>
      </c>
      <c r="I40" s="52">
        <v>780</v>
      </c>
      <c r="J40" s="52">
        <v>130</v>
      </c>
      <c r="K40" s="46">
        <v>3.2</v>
      </c>
      <c r="L40" s="51">
        <v>21</v>
      </c>
      <c r="M40" s="51">
        <v>0</v>
      </c>
      <c r="N40" s="22"/>
      <c r="O40" s="1"/>
      <c r="P40" s="36"/>
      <c r="R40" s="66"/>
      <c r="S40" s="66"/>
      <c r="T40" s="8"/>
      <c r="V40" s="2"/>
      <c r="W40" s="5"/>
      <c r="X40" s="6"/>
      <c r="Y40" s="6"/>
      <c r="Z40" s="6"/>
      <c r="AA40" s="6"/>
      <c r="AB40" s="12"/>
      <c r="AC40" s="5"/>
      <c r="AD40" s="7"/>
      <c r="AE40" s="5"/>
      <c r="AF40" s="5"/>
    </row>
    <row r="41" spans="1:32">
      <c r="A41" s="4">
        <f t="shared" si="0"/>
        <v>40</v>
      </c>
      <c r="B41" s="24">
        <v>0.68</v>
      </c>
      <c r="C41" s="24">
        <v>0.46499999999999997</v>
      </c>
      <c r="D41" s="24">
        <v>16.71</v>
      </c>
      <c r="E41" s="24">
        <v>4.74</v>
      </c>
      <c r="F41" s="57">
        <v>0.53384976280834917</v>
      </c>
      <c r="G41" s="44">
        <v>5.4</v>
      </c>
      <c r="H41" s="44">
        <v>6.5000000000000002E-2</v>
      </c>
      <c r="I41" s="45">
        <v>780</v>
      </c>
      <c r="J41" s="45">
        <v>130</v>
      </c>
      <c r="K41" s="46">
        <v>3.2</v>
      </c>
      <c r="L41" s="44">
        <v>21</v>
      </c>
      <c r="M41" s="51">
        <v>0</v>
      </c>
      <c r="N41" s="22"/>
      <c r="O41" s="1"/>
      <c r="P41" s="36"/>
      <c r="R41" s="66"/>
      <c r="S41" s="66"/>
      <c r="T41" s="8"/>
      <c r="V41" s="2"/>
      <c r="W41" s="5"/>
      <c r="X41" s="6"/>
      <c r="Y41" s="6"/>
      <c r="Z41" s="6"/>
      <c r="AA41" s="6"/>
      <c r="AB41" s="12"/>
      <c r="AC41" s="5"/>
      <c r="AD41" s="7"/>
      <c r="AE41" s="5"/>
      <c r="AF41" s="5"/>
    </row>
    <row r="42" spans="1:32">
      <c r="A42" s="4">
        <f t="shared" si="0"/>
        <v>41</v>
      </c>
      <c r="B42" s="24">
        <v>3.38</v>
      </c>
      <c r="C42" s="24">
        <v>0.46499999999999997</v>
      </c>
      <c r="D42" s="24">
        <v>20.09</v>
      </c>
      <c r="E42" s="24">
        <v>4.51</v>
      </c>
      <c r="F42" s="63">
        <v>0.33938347012788694</v>
      </c>
      <c r="G42" s="44">
        <v>5.4</v>
      </c>
      <c r="H42" s="44">
        <v>6.5000000000000002E-2</v>
      </c>
      <c r="I42" s="45">
        <v>780</v>
      </c>
      <c r="J42" s="45">
        <v>130</v>
      </c>
      <c r="K42" s="46">
        <v>3.2</v>
      </c>
      <c r="L42" s="44">
        <v>21</v>
      </c>
      <c r="M42" s="51">
        <v>0</v>
      </c>
      <c r="N42" s="22"/>
      <c r="O42" s="1"/>
      <c r="P42" s="36"/>
      <c r="R42" s="66"/>
      <c r="S42" s="66"/>
      <c r="T42" s="8"/>
      <c r="V42" s="2"/>
      <c r="W42" s="5"/>
      <c r="X42" s="6"/>
      <c r="Y42" s="6"/>
      <c r="Z42" s="6"/>
      <c r="AA42" s="6"/>
      <c r="AB42" s="12"/>
      <c r="AC42" s="5"/>
      <c r="AD42" s="7"/>
      <c r="AE42" s="5"/>
      <c r="AF42" s="5"/>
    </row>
    <row r="43" spans="1:32">
      <c r="A43" s="4">
        <f t="shared" si="0"/>
        <v>42</v>
      </c>
      <c r="B43" s="24">
        <v>1.22</v>
      </c>
      <c r="C43" s="24">
        <v>0.57999999999999996</v>
      </c>
      <c r="D43" s="24">
        <v>23.23</v>
      </c>
      <c r="E43" s="24">
        <v>0.93</v>
      </c>
      <c r="F43" s="63">
        <v>0.37740000000000001</v>
      </c>
      <c r="G43" s="44">
        <v>5.4</v>
      </c>
      <c r="H43" s="44">
        <v>6.5000000000000002E-2</v>
      </c>
      <c r="I43" s="45">
        <v>780</v>
      </c>
      <c r="J43" s="45">
        <v>130</v>
      </c>
      <c r="K43" s="46">
        <v>3.2</v>
      </c>
      <c r="L43" s="44">
        <v>21</v>
      </c>
      <c r="M43" s="44">
        <v>85</v>
      </c>
      <c r="N43" s="22"/>
      <c r="O43" s="1"/>
      <c r="P43" s="36"/>
      <c r="R43" s="66"/>
      <c r="S43" s="66"/>
      <c r="T43" s="8"/>
      <c r="V43" s="2"/>
      <c r="W43" s="5"/>
      <c r="X43" s="6"/>
      <c r="Y43" s="6"/>
      <c r="Z43" s="6"/>
      <c r="AA43" s="6"/>
      <c r="AB43" s="12"/>
      <c r="AC43" s="5"/>
      <c r="AD43" s="7"/>
      <c r="AE43" s="5"/>
      <c r="AF43" s="5"/>
    </row>
    <row r="44" spans="1:32">
      <c r="A44" s="4">
        <f t="shared" si="0"/>
        <v>43</v>
      </c>
      <c r="B44" s="24">
        <v>1.68</v>
      </c>
      <c r="C44" s="24">
        <v>0.57999999999999996</v>
      </c>
      <c r="D44" s="24">
        <v>23.46</v>
      </c>
      <c r="E44" s="24">
        <v>3.67</v>
      </c>
      <c r="F44" s="63">
        <v>0.5544</v>
      </c>
      <c r="G44" s="44">
        <v>5.4</v>
      </c>
      <c r="H44" s="44">
        <v>6.5000000000000002E-2</v>
      </c>
      <c r="I44" s="45">
        <v>780</v>
      </c>
      <c r="J44" s="45">
        <v>130</v>
      </c>
      <c r="K44" s="46">
        <v>3.2</v>
      </c>
      <c r="L44" s="44">
        <v>21</v>
      </c>
      <c r="M44" s="44">
        <v>85</v>
      </c>
      <c r="N44" s="22"/>
      <c r="O44" s="1"/>
      <c r="P44" s="36"/>
      <c r="R44" s="66"/>
      <c r="S44" s="66"/>
      <c r="T44" s="8"/>
      <c r="V44" s="2"/>
      <c r="W44" s="5"/>
      <c r="X44" s="6"/>
      <c r="Y44" s="6"/>
      <c r="Z44" s="6"/>
      <c r="AA44" s="6"/>
      <c r="AB44" s="12"/>
      <c r="AC44" s="5"/>
      <c r="AD44" s="7"/>
      <c r="AE44" s="5"/>
      <c r="AF44" s="5"/>
    </row>
    <row r="45" spans="1:32">
      <c r="A45" s="4">
        <f t="shared" si="0"/>
        <v>44</v>
      </c>
      <c r="B45" s="24">
        <v>1.9</v>
      </c>
      <c r="C45" s="24">
        <v>0.57999999999999996</v>
      </c>
      <c r="D45" s="24">
        <v>24.02</v>
      </c>
      <c r="E45" s="24">
        <v>10.41</v>
      </c>
      <c r="F45" s="63">
        <v>0.53979999999999995</v>
      </c>
      <c r="G45" s="44">
        <v>5.4</v>
      </c>
      <c r="H45" s="44">
        <v>6.5000000000000002E-2</v>
      </c>
      <c r="I45" s="45">
        <v>780</v>
      </c>
      <c r="J45" s="45">
        <v>130</v>
      </c>
      <c r="K45" s="46">
        <v>3.2</v>
      </c>
      <c r="L45" s="44">
        <v>21</v>
      </c>
      <c r="M45" s="44">
        <v>85</v>
      </c>
      <c r="N45" s="22"/>
      <c r="O45" s="1"/>
      <c r="P45" s="36"/>
      <c r="R45" s="66"/>
      <c r="S45" s="66"/>
      <c r="T45" s="8"/>
      <c r="V45" s="2"/>
      <c r="W45" s="5"/>
      <c r="X45" s="6"/>
      <c r="Y45" s="6"/>
      <c r="Z45" s="6"/>
      <c r="AA45" s="6"/>
      <c r="AB45" s="12"/>
      <c r="AC45" s="5"/>
      <c r="AD45" s="7"/>
      <c r="AE45" s="5"/>
      <c r="AF45" s="5"/>
    </row>
    <row r="46" spans="1:32">
      <c r="A46" s="4">
        <f t="shared" si="0"/>
        <v>45</v>
      </c>
      <c r="B46" s="24">
        <v>0.9</v>
      </c>
      <c r="C46" s="24">
        <v>0.57999999999999996</v>
      </c>
      <c r="D46" s="24">
        <v>24.31</v>
      </c>
      <c r="E46" s="24">
        <v>13.94</v>
      </c>
      <c r="F46" s="63">
        <v>0.46189999999999998</v>
      </c>
      <c r="G46" s="44">
        <v>5.4</v>
      </c>
      <c r="H46" s="44">
        <v>6.5000000000000002E-2</v>
      </c>
      <c r="I46" s="45">
        <v>780</v>
      </c>
      <c r="J46" s="45">
        <v>130</v>
      </c>
      <c r="K46" s="46">
        <v>3.2</v>
      </c>
      <c r="L46" s="44">
        <v>21</v>
      </c>
      <c r="M46" s="44">
        <v>85</v>
      </c>
      <c r="N46" s="22"/>
      <c r="O46" s="1"/>
      <c r="P46" s="36"/>
      <c r="R46" s="66"/>
      <c r="S46" s="66"/>
      <c r="T46" s="8"/>
      <c r="V46" s="2"/>
      <c r="W46" s="5"/>
      <c r="X46" s="6"/>
      <c r="Y46" s="6"/>
      <c r="Z46" s="6"/>
      <c r="AA46" s="6"/>
      <c r="AB46" s="12"/>
      <c r="AC46" s="5"/>
      <c r="AD46" s="7"/>
      <c r="AE46" s="5"/>
      <c r="AF46" s="5"/>
    </row>
    <row r="47" spans="1:32">
      <c r="A47" s="4">
        <f t="shared" si="0"/>
        <v>46</v>
      </c>
      <c r="B47" s="24">
        <v>0.91</v>
      </c>
      <c r="C47" s="24">
        <v>0.41499999999999998</v>
      </c>
      <c r="D47" s="24">
        <v>32.42</v>
      </c>
      <c r="E47" s="24">
        <v>0.77</v>
      </c>
      <c r="F47" s="63">
        <v>0.49904778233814384</v>
      </c>
      <c r="G47" s="44">
        <v>5.4</v>
      </c>
      <c r="H47" s="44">
        <v>6.5000000000000002E-2</v>
      </c>
      <c r="I47" s="45">
        <v>780</v>
      </c>
      <c r="J47" s="45">
        <v>130</v>
      </c>
      <c r="K47" s="46">
        <v>3.2</v>
      </c>
      <c r="L47" s="44">
        <v>21</v>
      </c>
      <c r="M47" s="44">
        <v>85</v>
      </c>
      <c r="N47" s="22"/>
      <c r="O47" s="1"/>
      <c r="P47" s="36"/>
      <c r="R47" s="66"/>
      <c r="S47" s="66"/>
      <c r="T47" s="8"/>
      <c r="V47" s="2"/>
      <c r="W47" s="5"/>
      <c r="X47" s="6"/>
      <c r="Y47" s="6"/>
      <c r="Z47" s="6"/>
      <c r="AA47" s="6"/>
      <c r="AB47" s="12"/>
      <c r="AC47" s="5"/>
      <c r="AD47" s="7"/>
      <c r="AE47" s="5"/>
      <c r="AF47" s="5"/>
    </row>
    <row r="48" spans="1:32">
      <c r="A48" s="4">
        <f t="shared" si="0"/>
        <v>47</v>
      </c>
      <c r="B48" s="24">
        <v>2.2599999999999998</v>
      </c>
      <c r="C48" s="24">
        <v>0.41499999999999998</v>
      </c>
      <c r="D48" s="24">
        <v>32.69</v>
      </c>
      <c r="E48" s="24">
        <v>3.85</v>
      </c>
      <c r="F48" s="63">
        <v>0.42244912623947117</v>
      </c>
      <c r="G48" s="44">
        <v>5.4</v>
      </c>
      <c r="H48" s="44">
        <v>6.5000000000000002E-2</v>
      </c>
      <c r="I48" s="45">
        <v>780</v>
      </c>
      <c r="J48" s="45">
        <v>130</v>
      </c>
      <c r="K48" s="46">
        <v>3.2</v>
      </c>
      <c r="L48" s="44">
        <v>21</v>
      </c>
      <c r="M48" s="44">
        <v>85</v>
      </c>
      <c r="N48" s="22"/>
      <c r="O48" s="1"/>
      <c r="P48" s="36"/>
      <c r="R48" s="66"/>
      <c r="S48" s="66"/>
      <c r="T48" s="8"/>
      <c r="V48" s="2"/>
      <c r="W48" s="5"/>
      <c r="X48" s="6"/>
      <c r="Y48" s="6"/>
      <c r="Z48" s="6"/>
      <c r="AA48" s="6"/>
      <c r="AB48" s="12"/>
      <c r="AC48" s="5"/>
      <c r="AD48" s="7"/>
      <c r="AE48" s="5"/>
      <c r="AF48" s="5"/>
    </row>
    <row r="49" spans="1:32">
      <c r="A49" s="4">
        <f t="shared" si="0"/>
        <v>48</v>
      </c>
      <c r="B49" s="24">
        <v>1.1100000000000001</v>
      </c>
      <c r="C49" s="24">
        <v>0.41499999999999998</v>
      </c>
      <c r="D49" s="24">
        <v>32.89</v>
      </c>
      <c r="E49" s="24">
        <v>6.42</v>
      </c>
      <c r="F49" s="63">
        <v>0.47193105720178008</v>
      </c>
      <c r="G49" s="44">
        <v>5.4</v>
      </c>
      <c r="H49" s="44">
        <v>6.5000000000000002E-2</v>
      </c>
      <c r="I49" s="45">
        <v>780</v>
      </c>
      <c r="J49" s="45">
        <v>130</v>
      </c>
      <c r="K49" s="46">
        <v>3.2</v>
      </c>
      <c r="L49" s="44">
        <v>21</v>
      </c>
      <c r="M49" s="44">
        <v>85</v>
      </c>
      <c r="N49" s="22"/>
      <c r="O49" s="1"/>
      <c r="P49" s="36"/>
      <c r="R49" s="66"/>
      <c r="S49" s="66"/>
      <c r="T49" s="8"/>
      <c r="V49" s="2"/>
      <c r="W49" s="5"/>
      <c r="X49" s="6"/>
      <c r="Y49" s="6"/>
      <c r="Z49" s="6"/>
      <c r="AA49" s="6"/>
      <c r="AB49" s="12"/>
      <c r="AC49" s="5"/>
      <c r="AD49" s="7"/>
      <c r="AE49" s="5"/>
      <c r="AF49" s="5"/>
    </row>
    <row r="50" spans="1:32">
      <c r="A50" s="4">
        <f t="shared" si="0"/>
        <v>49</v>
      </c>
      <c r="B50" s="24">
        <v>2.76</v>
      </c>
      <c r="C50" s="24">
        <v>0.41499999999999998</v>
      </c>
      <c r="D50" s="24">
        <v>33.159999999999997</v>
      </c>
      <c r="E50" s="24">
        <v>9.59</v>
      </c>
      <c r="F50" s="63">
        <v>0.3787203623188406</v>
      </c>
      <c r="G50" s="44">
        <v>5.4</v>
      </c>
      <c r="H50" s="44">
        <v>6.5000000000000002E-2</v>
      </c>
      <c r="I50" s="45">
        <v>780</v>
      </c>
      <c r="J50" s="45">
        <v>130</v>
      </c>
      <c r="K50" s="46">
        <v>3.2</v>
      </c>
      <c r="L50" s="44">
        <v>21</v>
      </c>
      <c r="M50" s="44">
        <v>85</v>
      </c>
      <c r="N50" s="22"/>
      <c r="O50" s="1"/>
      <c r="P50" s="36"/>
      <c r="R50" s="66"/>
      <c r="S50" s="66"/>
      <c r="T50" s="8"/>
      <c r="V50" s="2"/>
      <c r="W50" s="5"/>
      <c r="X50" s="6"/>
      <c r="Y50" s="6"/>
      <c r="Z50" s="6"/>
      <c r="AA50" s="6"/>
      <c r="AB50" s="12"/>
      <c r="AC50" s="5"/>
      <c r="AD50" s="7"/>
      <c r="AE50" s="5"/>
      <c r="AF50" s="5"/>
    </row>
    <row r="51" spans="1:32">
      <c r="A51" s="4">
        <f t="shared" si="0"/>
        <v>50</v>
      </c>
      <c r="B51" s="24">
        <v>0.95</v>
      </c>
      <c r="C51" s="24">
        <v>0.41499999999999998</v>
      </c>
      <c r="D51" s="24">
        <v>33.56</v>
      </c>
      <c r="E51" s="24">
        <v>14.27</v>
      </c>
      <c r="F51" s="57">
        <v>0.5145162029169309</v>
      </c>
      <c r="G51" s="44">
        <v>5.4</v>
      </c>
      <c r="H51" s="44">
        <v>6.5000000000000002E-2</v>
      </c>
      <c r="I51" s="45">
        <v>780</v>
      </c>
      <c r="J51" s="45">
        <v>130</v>
      </c>
      <c r="K51" s="46">
        <v>3.2</v>
      </c>
      <c r="L51" s="44">
        <v>21</v>
      </c>
      <c r="M51" s="44">
        <v>85</v>
      </c>
      <c r="N51" s="22"/>
      <c r="O51" s="1"/>
      <c r="P51" s="36"/>
      <c r="R51" s="66"/>
      <c r="S51" s="66"/>
      <c r="T51" s="8"/>
    </row>
    <row r="52" spans="1:32">
      <c r="A52" s="4">
        <f t="shared" si="0"/>
        <v>51</v>
      </c>
      <c r="B52" s="24">
        <v>1.9</v>
      </c>
      <c r="C52" s="24">
        <v>0.30499999999999999</v>
      </c>
      <c r="D52" s="24">
        <v>36.9</v>
      </c>
      <c r="E52" s="24">
        <v>1.26</v>
      </c>
      <c r="F52" s="57">
        <v>0.43804485591026732</v>
      </c>
      <c r="G52" s="44">
        <v>5.4</v>
      </c>
      <c r="H52" s="44">
        <v>6.5000000000000002E-2</v>
      </c>
      <c r="I52" s="45">
        <v>780</v>
      </c>
      <c r="J52" s="45">
        <v>130</v>
      </c>
      <c r="K52" s="46">
        <v>3.2</v>
      </c>
      <c r="L52" s="44">
        <v>21</v>
      </c>
      <c r="M52" s="44">
        <v>85</v>
      </c>
      <c r="N52" s="22"/>
      <c r="O52" s="1"/>
      <c r="P52" s="36"/>
      <c r="R52" s="66"/>
      <c r="S52" s="66"/>
      <c r="T52" s="8"/>
    </row>
    <row r="53" spans="1:32">
      <c r="A53" s="4">
        <f t="shared" si="0"/>
        <v>52</v>
      </c>
      <c r="B53" s="24">
        <v>3.07</v>
      </c>
      <c r="C53" s="24">
        <v>0.30499999999999999</v>
      </c>
      <c r="D53" s="24">
        <v>37.21</v>
      </c>
      <c r="E53" s="24">
        <v>4.97</v>
      </c>
      <c r="F53" s="57">
        <v>0.41461582848293915</v>
      </c>
      <c r="G53" s="44">
        <v>5.4</v>
      </c>
      <c r="H53" s="44">
        <v>6.5000000000000002E-2</v>
      </c>
      <c r="I53" s="45">
        <v>780</v>
      </c>
      <c r="J53" s="45">
        <v>130</v>
      </c>
      <c r="K53" s="46">
        <v>3.2</v>
      </c>
      <c r="L53" s="44">
        <v>21</v>
      </c>
      <c r="M53" s="44">
        <v>85</v>
      </c>
      <c r="N53" s="22"/>
      <c r="O53" s="1"/>
      <c r="P53" s="36"/>
      <c r="R53" s="66"/>
      <c r="S53" s="66"/>
      <c r="T53" s="8"/>
    </row>
    <row r="54" spans="1:32">
      <c r="A54" s="4">
        <f t="shared" si="0"/>
        <v>53</v>
      </c>
      <c r="B54" s="24">
        <v>5.04</v>
      </c>
      <c r="C54" s="24">
        <v>0.13500000000000001</v>
      </c>
      <c r="D54" s="24">
        <v>39.29</v>
      </c>
      <c r="E54" s="24">
        <v>8.81</v>
      </c>
      <c r="F54" s="57">
        <v>0.44350050117577888</v>
      </c>
      <c r="G54" s="44">
        <v>5.4</v>
      </c>
      <c r="H54" s="51">
        <v>6.3E-2</v>
      </c>
      <c r="I54" s="45">
        <v>756</v>
      </c>
      <c r="J54" s="45">
        <v>126</v>
      </c>
      <c r="K54" s="46">
        <v>2.41</v>
      </c>
      <c r="L54" s="44">
        <v>18</v>
      </c>
      <c r="M54" s="44">
        <v>85</v>
      </c>
      <c r="N54" s="22"/>
      <c r="O54" s="1"/>
      <c r="P54" s="36"/>
      <c r="R54" s="66"/>
      <c r="S54" s="66"/>
      <c r="T54" s="8"/>
    </row>
    <row r="55" spans="1:32">
      <c r="A55" s="4">
        <f t="shared" si="0"/>
        <v>54</v>
      </c>
      <c r="B55" s="24">
        <v>1.97</v>
      </c>
      <c r="C55" s="24">
        <v>0.13500000000000001</v>
      </c>
      <c r="D55" s="24">
        <v>39.549999999999997</v>
      </c>
      <c r="E55" s="24">
        <v>12.3</v>
      </c>
      <c r="F55" s="57">
        <v>0.47999459296860303</v>
      </c>
      <c r="G55" s="44">
        <v>5.4</v>
      </c>
      <c r="H55" s="44">
        <v>6.3E-2</v>
      </c>
      <c r="I55" s="45">
        <v>756</v>
      </c>
      <c r="J55" s="45">
        <v>126</v>
      </c>
      <c r="K55" s="46">
        <v>2.41</v>
      </c>
      <c r="L55" s="44">
        <v>18</v>
      </c>
      <c r="M55" s="44">
        <v>85</v>
      </c>
      <c r="N55" s="22"/>
      <c r="O55" s="1"/>
      <c r="P55" s="36"/>
      <c r="R55" s="66"/>
      <c r="S55" s="66"/>
      <c r="T55" s="8"/>
    </row>
    <row r="56" spans="1:32">
      <c r="A56" s="4">
        <f t="shared" si="0"/>
        <v>55</v>
      </c>
      <c r="B56" s="24">
        <v>0.45499999999999996</v>
      </c>
      <c r="C56" s="24">
        <v>0.35</v>
      </c>
      <c r="D56" s="24">
        <v>42.47</v>
      </c>
      <c r="E56" s="24">
        <v>14.85</v>
      </c>
      <c r="F56" s="57">
        <v>0.58444182103610676</v>
      </c>
      <c r="G56" s="44">
        <v>5.4</v>
      </c>
      <c r="H56" s="44">
        <v>6.5000000000000002E-2</v>
      </c>
      <c r="I56" s="45">
        <v>780</v>
      </c>
      <c r="J56" s="45">
        <v>130</v>
      </c>
      <c r="K56" s="46">
        <v>3.2</v>
      </c>
      <c r="L56" s="44">
        <v>21</v>
      </c>
      <c r="M56" s="44">
        <v>127</v>
      </c>
      <c r="N56" s="22"/>
      <c r="O56" s="1"/>
      <c r="P56" s="36"/>
      <c r="R56" s="66"/>
      <c r="S56" s="66"/>
      <c r="T56" s="8"/>
    </row>
    <row r="57" spans="1:32">
      <c r="A57" s="4">
        <f t="shared" si="0"/>
        <v>56</v>
      </c>
      <c r="B57" s="24">
        <v>3.42</v>
      </c>
      <c r="C57" s="24">
        <v>0.45499999999999996</v>
      </c>
      <c r="D57" s="24">
        <v>44.26</v>
      </c>
      <c r="E57" s="24">
        <v>12.42</v>
      </c>
      <c r="F57" s="57">
        <v>0.3516320660625924</v>
      </c>
      <c r="G57" s="44">
        <v>5.4</v>
      </c>
      <c r="H57" s="44">
        <v>6.5000000000000002E-2</v>
      </c>
      <c r="I57" s="45">
        <v>780</v>
      </c>
      <c r="J57" s="45">
        <v>130</v>
      </c>
      <c r="K57" s="46">
        <v>3.2</v>
      </c>
      <c r="L57" s="44">
        <v>21</v>
      </c>
      <c r="M57" s="44">
        <v>127</v>
      </c>
      <c r="N57" s="22"/>
      <c r="O57" s="1"/>
      <c r="P57" s="36"/>
      <c r="R57" s="66"/>
      <c r="S57" s="66"/>
      <c r="T57" s="8"/>
    </row>
    <row r="58" spans="1:32">
      <c r="A58" s="4">
        <f t="shared" si="0"/>
        <v>57</v>
      </c>
      <c r="B58" s="24">
        <v>0.82</v>
      </c>
      <c r="C58" s="24">
        <v>0.45499999999999996</v>
      </c>
      <c r="D58" s="24">
        <v>46.21</v>
      </c>
      <c r="E58" s="24">
        <v>9.75</v>
      </c>
      <c r="F58" s="57">
        <v>0.37788265880461003</v>
      </c>
      <c r="G58" s="44">
        <v>5.4</v>
      </c>
      <c r="H58" s="44">
        <v>6.5000000000000002E-2</v>
      </c>
      <c r="I58" s="45">
        <v>780</v>
      </c>
      <c r="J58" s="45">
        <v>130</v>
      </c>
      <c r="K58" s="46">
        <v>3.2</v>
      </c>
      <c r="L58" s="44">
        <v>21</v>
      </c>
      <c r="M58" s="44">
        <v>127</v>
      </c>
      <c r="N58" s="22"/>
      <c r="O58" s="1"/>
      <c r="P58" s="36"/>
      <c r="R58" s="66"/>
      <c r="S58" s="66"/>
      <c r="T58" s="8"/>
    </row>
    <row r="59" spans="1:32">
      <c r="A59" s="4">
        <f t="shared" si="0"/>
        <v>58</v>
      </c>
      <c r="B59" s="24">
        <v>2.57</v>
      </c>
      <c r="C59" s="24">
        <v>0.69499999999999995</v>
      </c>
      <c r="D59" s="24">
        <v>15.47</v>
      </c>
      <c r="E59" s="24">
        <v>0</v>
      </c>
      <c r="F59" s="57">
        <v>0.2921002239453574</v>
      </c>
      <c r="G59" s="44">
        <v>5.4</v>
      </c>
      <c r="H59" s="44">
        <v>6.5000000000000002E-2</v>
      </c>
      <c r="I59" s="45">
        <v>780</v>
      </c>
      <c r="J59" s="45">
        <v>130</v>
      </c>
      <c r="K59" s="46">
        <v>3.2</v>
      </c>
      <c r="L59" s="44">
        <v>21</v>
      </c>
      <c r="M59" s="44">
        <v>0</v>
      </c>
      <c r="N59" s="22"/>
      <c r="O59" s="1"/>
      <c r="P59" s="36"/>
      <c r="R59" s="66"/>
      <c r="S59" s="66"/>
      <c r="T59" s="8"/>
    </row>
    <row r="60" spans="1:32">
      <c r="A60" s="4">
        <f t="shared" si="0"/>
        <v>59</v>
      </c>
      <c r="B60" s="24">
        <v>2.92</v>
      </c>
      <c r="C60" s="24">
        <v>0.69499999999999995</v>
      </c>
      <c r="D60" s="24">
        <v>19.489999999999998</v>
      </c>
      <c r="E60" s="24">
        <v>0</v>
      </c>
      <c r="F60" s="57">
        <v>0.31324757810190201</v>
      </c>
      <c r="G60" s="44">
        <v>5.4</v>
      </c>
      <c r="H60" s="44">
        <v>6.5000000000000002E-2</v>
      </c>
      <c r="I60" s="45">
        <v>780</v>
      </c>
      <c r="J60" s="45">
        <v>130</v>
      </c>
      <c r="K60" s="46">
        <v>3.2</v>
      </c>
      <c r="L60" s="44">
        <v>21</v>
      </c>
      <c r="M60" s="44">
        <v>0</v>
      </c>
      <c r="N60" s="22"/>
      <c r="O60" s="1"/>
      <c r="P60" s="36"/>
      <c r="R60" s="66"/>
      <c r="S60" s="66"/>
      <c r="T60" s="8"/>
    </row>
    <row r="61" spans="1:32">
      <c r="A61" s="4">
        <f t="shared" si="0"/>
        <v>60</v>
      </c>
      <c r="B61" s="24">
        <v>2.12</v>
      </c>
      <c r="C61" s="24">
        <v>0.69499999999999995</v>
      </c>
      <c r="D61" s="24">
        <v>23.34</v>
      </c>
      <c r="E61" s="24">
        <v>0</v>
      </c>
      <c r="F61" s="57">
        <v>0.35753172594000271</v>
      </c>
      <c r="G61" s="44">
        <v>5.4</v>
      </c>
      <c r="H61" s="44">
        <v>6.5000000000000002E-2</v>
      </c>
      <c r="I61" s="45">
        <v>780</v>
      </c>
      <c r="J61" s="45">
        <v>130</v>
      </c>
      <c r="K61" s="46">
        <v>3.2</v>
      </c>
      <c r="L61" s="44">
        <v>21</v>
      </c>
      <c r="M61" s="44">
        <v>0</v>
      </c>
      <c r="N61" s="22"/>
      <c r="O61" s="1"/>
      <c r="P61" s="36"/>
      <c r="R61" s="66"/>
      <c r="S61" s="66"/>
      <c r="T61" s="8"/>
    </row>
    <row r="62" spans="1:32">
      <c r="A62" s="4">
        <f t="shared" si="0"/>
        <v>61</v>
      </c>
      <c r="B62" s="24">
        <v>2.12</v>
      </c>
      <c r="C62" s="24">
        <v>0.69499999999999995</v>
      </c>
      <c r="D62" s="24">
        <v>27.86</v>
      </c>
      <c r="E62" s="24">
        <v>0</v>
      </c>
      <c r="F62" s="57">
        <v>0.35156917673408444</v>
      </c>
      <c r="G62" s="44">
        <v>5.4</v>
      </c>
      <c r="H62" s="44">
        <v>6.5000000000000002E-2</v>
      </c>
      <c r="I62" s="45">
        <v>780</v>
      </c>
      <c r="J62" s="45">
        <v>130</v>
      </c>
      <c r="K62" s="46">
        <v>3.2</v>
      </c>
      <c r="L62" s="44">
        <v>21</v>
      </c>
      <c r="M62" s="44">
        <v>0</v>
      </c>
      <c r="N62" s="22"/>
      <c r="O62" s="1"/>
      <c r="P62" s="36"/>
      <c r="R62" s="66"/>
      <c r="S62" s="66"/>
      <c r="T62" s="8"/>
    </row>
    <row r="63" spans="1:32">
      <c r="A63" s="4">
        <f t="shared" si="0"/>
        <v>62</v>
      </c>
      <c r="B63" s="24">
        <v>3</v>
      </c>
      <c r="C63" s="24">
        <v>0.69499999999999995</v>
      </c>
      <c r="D63" s="24">
        <v>31.73</v>
      </c>
      <c r="E63" s="24">
        <v>0</v>
      </c>
      <c r="F63" s="57">
        <v>0.29732381294964028</v>
      </c>
      <c r="G63" s="44">
        <v>5.4</v>
      </c>
      <c r="H63" s="44">
        <v>6.5000000000000002E-2</v>
      </c>
      <c r="I63" s="45">
        <v>780</v>
      </c>
      <c r="J63" s="45">
        <v>130</v>
      </c>
      <c r="K63" s="46">
        <v>3.2</v>
      </c>
      <c r="L63" s="44">
        <v>21</v>
      </c>
      <c r="M63" s="44">
        <v>0</v>
      </c>
      <c r="N63" s="22"/>
      <c r="O63" s="1"/>
      <c r="P63" s="36"/>
      <c r="R63" s="66"/>
      <c r="S63" s="66"/>
      <c r="T63" s="8"/>
    </row>
    <row r="64" spans="1:32">
      <c r="A64" s="4">
        <f t="shared" si="0"/>
        <v>63</v>
      </c>
      <c r="B64" s="24">
        <v>2.89</v>
      </c>
      <c r="C64" s="24">
        <v>0.69499999999999995</v>
      </c>
      <c r="D64" s="24">
        <v>35.97</v>
      </c>
      <c r="E64" s="24">
        <v>0</v>
      </c>
      <c r="F64" s="57">
        <v>0.27722412436832533</v>
      </c>
      <c r="G64" s="44">
        <v>5.4</v>
      </c>
      <c r="H64" s="44">
        <v>6.5000000000000002E-2</v>
      </c>
      <c r="I64" s="45">
        <v>780</v>
      </c>
      <c r="J64" s="45">
        <v>130</v>
      </c>
      <c r="K64" s="46">
        <v>3.2</v>
      </c>
      <c r="L64" s="44">
        <v>21</v>
      </c>
      <c r="M64" s="44">
        <v>0</v>
      </c>
      <c r="N64" s="22"/>
      <c r="O64" s="1"/>
      <c r="P64" s="36"/>
      <c r="R64" s="66"/>
      <c r="S64" s="66"/>
      <c r="T64" s="8"/>
    </row>
    <row r="65" spans="1:20">
      <c r="A65" s="4">
        <f t="shared" si="0"/>
        <v>64</v>
      </c>
      <c r="B65" s="24">
        <v>2.2400000000000002</v>
      </c>
      <c r="C65" s="24">
        <v>0.60499999999999998</v>
      </c>
      <c r="D65" s="24">
        <v>37.840000000000003</v>
      </c>
      <c r="E65" s="24">
        <v>1.39</v>
      </c>
      <c r="F65" s="57">
        <v>0.29022908574380163</v>
      </c>
      <c r="G65" s="44">
        <v>5.4</v>
      </c>
      <c r="H65" s="44">
        <v>6.5000000000000002E-2</v>
      </c>
      <c r="I65" s="45">
        <v>780</v>
      </c>
      <c r="J65" s="45">
        <v>130</v>
      </c>
      <c r="K65" s="46">
        <v>3.2</v>
      </c>
      <c r="L65" s="44">
        <v>21</v>
      </c>
      <c r="M65" s="44">
        <v>42</v>
      </c>
      <c r="N65" s="22"/>
      <c r="O65" s="1"/>
      <c r="P65" s="36"/>
      <c r="R65" s="66"/>
      <c r="S65" s="66"/>
      <c r="T65" s="8"/>
    </row>
    <row r="66" spans="1:20">
      <c r="A66" s="4">
        <f t="shared" si="0"/>
        <v>65</v>
      </c>
      <c r="B66" s="24">
        <v>2.15</v>
      </c>
      <c r="C66" s="24">
        <v>0.60499999999999998</v>
      </c>
      <c r="D66" s="24">
        <v>40.44</v>
      </c>
      <c r="E66" s="24">
        <v>3.74</v>
      </c>
      <c r="F66" s="57">
        <v>0.32196657466846057</v>
      </c>
      <c r="G66" s="44">
        <v>5.4</v>
      </c>
      <c r="H66" s="44">
        <v>6.5000000000000002E-2</v>
      </c>
      <c r="I66" s="45">
        <v>780</v>
      </c>
      <c r="J66" s="45">
        <v>130</v>
      </c>
      <c r="K66" s="46">
        <v>3.2</v>
      </c>
      <c r="L66" s="44">
        <v>21</v>
      </c>
      <c r="M66" s="44">
        <v>42</v>
      </c>
      <c r="N66" s="22"/>
      <c r="O66" s="1"/>
      <c r="P66" s="36"/>
      <c r="R66" s="66"/>
      <c r="S66" s="66"/>
      <c r="T66" s="8"/>
    </row>
    <row r="67" spans="1:20">
      <c r="A67" s="4">
        <f t="shared" si="0"/>
        <v>66</v>
      </c>
      <c r="B67" s="24">
        <v>2.4700000000000002</v>
      </c>
      <c r="C67" s="24">
        <v>0.60499999999999998</v>
      </c>
      <c r="D67" s="24">
        <v>43.12</v>
      </c>
      <c r="E67" s="24">
        <v>6.16</v>
      </c>
      <c r="F67" s="57">
        <v>0.31480036002275236</v>
      </c>
      <c r="G67" s="44">
        <v>5.4</v>
      </c>
      <c r="H67" s="44">
        <v>6.5000000000000002E-2</v>
      </c>
      <c r="I67" s="45">
        <v>780</v>
      </c>
      <c r="J67" s="45">
        <v>130</v>
      </c>
      <c r="K67" s="46">
        <v>3.2</v>
      </c>
      <c r="L67" s="44">
        <v>21</v>
      </c>
      <c r="M67" s="44">
        <v>42</v>
      </c>
      <c r="N67" s="22"/>
      <c r="O67" s="1"/>
      <c r="P67" s="36"/>
      <c r="R67" s="66"/>
      <c r="S67" s="66"/>
      <c r="T67" s="8"/>
    </row>
    <row r="68" spans="1:20">
      <c r="A68" s="4">
        <f t="shared" si="0"/>
        <v>67</v>
      </c>
      <c r="B68" s="24">
        <v>3.57</v>
      </c>
      <c r="C68" s="24">
        <v>0.60499999999999998</v>
      </c>
      <c r="D68" s="24">
        <v>46.34</v>
      </c>
      <c r="E68" s="24">
        <v>9.06</v>
      </c>
      <c r="F68" s="57">
        <v>0.29857407227353749</v>
      </c>
      <c r="G68" s="44">
        <v>5.4</v>
      </c>
      <c r="H68" s="44">
        <v>6.5000000000000002E-2</v>
      </c>
      <c r="I68" s="45">
        <v>780</v>
      </c>
      <c r="J68" s="45">
        <v>130</v>
      </c>
      <c r="K68" s="46">
        <v>3.2</v>
      </c>
      <c r="L68" s="44">
        <v>21</v>
      </c>
      <c r="M68" s="44">
        <v>42</v>
      </c>
      <c r="N68" s="22"/>
      <c r="O68" s="1"/>
      <c r="P68" s="36"/>
      <c r="R68" s="66"/>
      <c r="S68" s="66"/>
      <c r="T68" s="8"/>
    </row>
    <row r="69" spans="1:20">
      <c r="A69" s="4">
        <f t="shared" si="0"/>
        <v>68</v>
      </c>
      <c r="B69" s="24">
        <v>1.3</v>
      </c>
      <c r="C69" s="24">
        <v>0.60499999999999998</v>
      </c>
      <c r="D69" s="24">
        <v>49.12</v>
      </c>
      <c r="E69" s="24">
        <v>11.57</v>
      </c>
      <c r="F69" s="57">
        <v>0.31265402797202801</v>
      </c>
      <c r="G69" s="44">
        <v>5.4</v>
      </c>
      <c r="H69" s="44">
        <v>6.5000000000000002E-2</v>
      </c>
      <c r="I69" s="45">
        <v>780</v>
      </c>
      <c r="J69" s="45">
        <v>130</v>
      </c>
      <c r="K69" s="46">
        <v>3.2</v>
      </c>
      <c r="L69" s="44">
        <v>21</v>
      </c>
      <c r="M69" s="44">
        <v>42</v>
      </c>
      <c r="N69" s="22"/>
      <c r="O69" s="1"/>
      <c r="P69" s="36"/>
      <c r="R69" s="66"/>
      <c r="S69" s="66"/>
      <c r="T69" s="8"/>
    </row>
    <row r="70" spans="1:20">
      <c r="A70" s="4">
        <f t="shared" ref="A70:A108" si="1">A69+1</f>
        <v>69</v>
      </c>
      <c r="B70" s="24">
        <v>1</v>
      </c>
      <c r="C70" s="24">
        <v>0.59499999999999997</v>
      </c>
      <c r="D70" s="24">
        <v>44.82</v>
      </c>
      <c r="E70" s="24">
        <v>16.88</v>
      </c>
      <c r="F70" s="57">
        <v>0.28486101176470591</v>
      </c>
      <c r="G70" s="44">
        <v>5.4</v>
      </c>
      <c r="H70" s="44">
        <v>6.5000000000000002E-2</v>
      </c>
      <c r="I70" s="45">
        <v>780</v>
      </c>
      <c r="J70" s="45">
        <v>130</v>
      </c>
      <c r="K70" s="46">
        <v>3.2</v>
      </c>
      <c r="L70" s="44">
        <v>21</v>
      </c>
      <c r="M70" s="44">
        <v>36</v>
      </c>
      <c r="N70" s="22"/>
      <c r="O70" s="1"/>
      <c r="P70" s="36"/>
      <c r="R70" s="66"/>
      <c r="S70" s="66"/>
      <c r="T70" s="8"/>
    </row>
    <row r="71" spans="1:20">
      <c r="A71" s="4">
        <f t="shared" si="1"/>
        <v>70</v>
      </c>
      <c r="B71" s="24">
        <v>1.2</v>
      </c>
      <c r="C71" s="24">
        <v>0.59499999999999997</v>
      </c>
      <c r="D71" s="24">
        <v>42.96</v>
      </c>
      <c r="E71" s="24">
        <v>15.57</v>
      </c>
      <c r="F71" s="57">
        <v>0.30198394117647059</v>
      </c>
      <c r="G71" s="44">
        <v>5.4</v>
      </c>
      <c r="H71" s="44">
        <v>6.5000000000000002E-2</v>
      </c>
      <c r="I71" s="45">
        <v>780</v>
      </c>
      <c r="J71" s="45">
        <v>130</v>
      </c>
      <c r="K71" s="46">
        <v>3.2</v>
      </c>
      <c r="L71" s="44">
        <v>21</v>
      </c>
      <c r="M71" s="44">
        <v>36</v>
      </c>
      <c r="N71" s="22"/>
      <c r="O71" s="1"/>
      <c r="P71" s="36"/>
      <c r="R71" s="66"/>
      <c r="S71" s="66"/>
      <c r="T71" s="8"/>
    </row>
    <row r="72" spans="1:20">
      <c r="A72" s="4">
        <f t="shared" si="1"/>
        <v>71</v>
      </c>
      <c r="B72" s="24">
        <v>1.59</v>
      </c>
      <c r="C72" s="24">
        <v>0.18</v>
      </c>
      <c r="D72" s="24">
        <v>39.909999999999997</v>
      </c>
      <c r="E72" s="24">
        <v>9.0399999999999991</v>
      </c>
      <c r="F72" s="57">
        <v>0.36215509433962256</v>
      </c>
      <c r="G72" s="44">
        <v>5.4</v>
      </c>
      <c r="H72" s="44">
        <v>6.3E-2</v>
      </c>
      <c r="I72" s="45">
        <v>756</v>
      </c>
      <c r="J72" s="45">
        <v>126</v>
      </c>
      <c r="K72" s="46">
        <v>2.41</v>
      </c>
      <c r="L72" s="44">
        <v>18</v>
      </c>
      <c r="M72" s="44">
        <v>127</v>
      </c>
      <c r="N72" s="22"/>
      <c r="O72" s="1"/>
      <c r="P72" s="36"/>
      <c r="R72" s="66"/>
      <c r="S72" s="66"/>
      <c r="T72" s="8"/>
    </row>
    <row r="73" spans="1:20">
      <c r="A73" s="4">
        <f t="shared" si="1"/>
        <v>72</v>
      </c>
      <c r="B73" s="24">
        <v>1.52</v>
      </c>
      <c r="C73" s="24">
        <v>0.18</v>
      </c>
      <c r="D73" s="24">
        <v>41.06</v>
      </c>
      <c r="E73" s="24">
        <v>7.78</v>
      </c>
      <c r="F73" s="57">
        <v>0.55790441353383458</v>
      </c>
      <c r="G73" s="44">
        <v>5.4</v>
      </c>
      <c r="H73" s="44">
        <v>6.3E-2</v>
      </c>
      <c r="I73" s="45">
        <v>756</v>
      </c>
      <c r="J73" s="45">
        <v>126</v>
      </c>
      <c r="K73" s="46">
        <v>2.41</v>
      </c>
      <c r="L73" s="44">
        <v>18</v>
      </c>
      <c r="M73" s="44">
        <v>127</v>
      </c>
      <c r="N73" s="22"/>
      <c r="O73" s="1"/>
      <c r="P73" s="36"/>
      <c r="R73" s="66"/>
      <c r="S73" s="66"/>
      <c r="T73" s="8"/>
    </row>
    <row r="74" spans="1:20">
      <c r="A74" s="4">
        <f t="shared" si="1"/>
        <v>73</v>
      </c>
      <c r="B74" s="24">
        <v>0.44</v>
      </c>
      <c r="C74" s="24">
        <v>0.18</v>
      </c>
      <c r="D74" s="24">
        <v>42.22</v>
      </c>
      <c r="E74" s="24">
        <v>5.99</v>
      </c>
      <c r="F74" s="57">
        <v>0.87802001298701282</v>
      </c>
      <c r="G74" s="44">
        <v>5.4</v>
      </c>
      <c r="H74" s="44">
        <v>6.3E-2</v>
      </c>
      <c r="I74" s="45">
        <v>756</v>
      </c>
      <c r="J74" s="45">
        <v>126</v>
      </c>
      <c r="K74" s="46">
        <v>2.41</v>
      </c>
      <c r="L74" s="44">
        <v>18</v>
      </c>
      <c r="M74" s="44">
        <v>127</v>
      </c>
      <c r="N74" s="22"/>
      <c r="O74" s="1"/>
      <c r="P74" s="36"/>
      <c r="R74" s="66"/>
      <c r="S74" s="66"/>
      <c r="T74" s="8"/>
    </row>
    <row r="75" spans="1:20">
      <c r="A75" s="4">
        <f t="shared" si="1"/>
        <v>74</v>
      </c>
      <c r="B75" s="24">
        <v>1.68</v>
      </c>
      <c r="C75" s="24">
        <v>0.505</v>
      </c>
      <c r="D75" s="24">
        <v>45.78</v>
      </c>
      <c r="E75" s="24">
        <v>16.89</v>
      </c>
      <c r="F75" s="57">
        <v>0.31217338755304103</v>
      </c>
      <c r="G75" s="44">
        <v>5.4</v>
      </c>
      <c r="H75" s="44">
        <v>6.5000000000000002E-2</v>
      </c>
      <c r="I75" s="45">
        <v>780</v>
      </c>
      <c r="J75" s="45">
        <v>130</v>
      </c>
      <c r="K75" s="46">
        <v>3.2</v>
      </c>
      <c r="L75" s="44">
        <v>21</v>
      </c>
      <c r="M75" s="44">
        <v>127</v>
      </c>
      <c r="N75" s="22"/>
      <c r="O75" s="1"/>
      <c r="P75" s="36"/>
      <c r="R75" s="66"/>
      <c r="S75" s="66"/>
      <c r="T75" s="8"/>
    </row>
    <row r="76" spans="1:20">
      <c r="A76" s="4">
        <f t="shared" si="1"/>
        <v>75</v>
      </c>
      <c r="B76" s="24">
        <v>0.8</v>
      </c>
      <c r="C76" s="24">
        <v>0.47499999999999998</v>
      </c>
      <c r="D76" s="24">
        <v>41.85</v>
      </c>
      <c r="E76" s="24">
        <v>15.2</v>
      </c>
      <c r="F76" s="57">
        <v>0.29069014210526312</v>
      </c>
      <c r="G76" s="44">
        <v>5.4</v>
      </c>
      <c r="H76" s="44">
        <v>6.5000000000000002E-2</v>
      </c>
      <c r="I76" s="45">
        <v>780</v>
      </c>
      <c r="J76" s="45">
        <v>130</v>
      </c>
      <c r="K76" s="46">
        <v>3.2</v>
      </c>
      <c r="L76" s="44">
        <v>21</v>
      </c>
      <c r="M76" s="44">
        <v>0</v>
      </c>
      <c r="N76" s="22"/>
      <c r="O76" s="1"/>
      <c r="P76" s="36"/>
      <c r="R76" s="66"/>
      <c r="S76" s="66"/>
      <c r="T76" s="8"/>
    </row>
    <row r="77" spans="1:20">
      <c r="A77" s="4">
        <f t="shared" si="1"/>
        <v>76</v>
      </c>
      <c r="B77" s="24">
        <v>1.3</v>
      </c>
      <c r="C77" s="24">
        <v>0.47499999999999998</v>
      </c>
      <c r="D77" s="24">
        <v>39.630000000000003</v>
      </c>
      <c r="E77" s="24">
        <v>15.15</v>
      </c>
      <c r="F77" s="57">
        <v>0.27449550607287454</v>
      </c>
      <c r="G77" s="44">
        <v>5.4</v>
      </c>
      <c r="H77" s="44">
        <v>6.5000000000000002E-2</v>
      </c>
      <c r="I77" s="45">
        <v>780</v>
      </c>
      <c r="J77" s="45">
        <v>130</v>
      </c>
      <c r="K77" s="46">
        <v>3.2</v>
      </c>
      <c r="L77" s="44">
        <v>21</v>
      </c>
      <c r="M77" s="44">
        <v>0</v>
      </c>
      <c r="N77" s="22"/>
      <c r="O77" s="1"/>
      <c r="P77" s="36"/>
      <c r="R77" s="66"/>
      <c r="S77" s="66"/>
      <c r="T77" s="8"/>
    </row>
    <row r="78" spans="1:20">
      <c r="A78" s="4">
        <f t="shared" si="1"/>
        <v>77</v>
      </c>
      <c r="B78" s="24">
        <v>1.24</v>
      </c>
      <c r="C78" s="24">
        <v>0.47499999999999998</v>
      </c>
      <c r="D78" s="24">
        <v>37.159999999999997</v>
      </c>
      <c r="E78" s="24">
        <v>15.09</v>
      </c>
      <c r="F78" s="57">
        <v>0.23871693548387096</v>
      </c>
      <c r="G78" s="44">
        <v>5.4</v>
      </c>
      <c r="H78" s="44">
        <v>6.5000000000000002E-2</v>
      </c>
      <c r="I78" s="45">
        <v>780</v>
      </c>
      <c r="J78" s="45">
        <v>130</v>
      </c>
      <c r="K78" s="46">
        <v>3.2</v>
      </c>
      <c r="L78" s="44">
        <v>21</v>
      </c>
      <c r="M78" s="44">
        <v>0</v>
      </c>
      <c r="N78" s="22"/>
      <c r="O78" s="1"/>
      <c r="P78" s="36"/>
      <c r="R78" s="66"/>
      <c r="S78" s="66"/>
      <c r="T78" s="8"/>
    </row>
    <row r="79" spans="1:20">
      <c r="A79" s="4">
        <f t="shared" si="1"/>
        <v>78</v>
      </c>
      <c r="B79" s="24">
        <v>1.1100000000000001</v>
      </c>
      <c r="C79" s="24">
        <v>0.47499999999999998</v>
      </c>
      <c r="D79" s="24">
        <v>35.979999999999997</v>
      </c>
      <c r="E79" s="24">
        <v>15.06</v>
      </c>
      <c r="F79" s="57">
        <v>0.23782972972972977</v>
      </c>
      <c r="G79" s="44">
        <v>5.4</v>
      </c>
      <c r="H79" s="44">
        <v>6.5000000000000002E-2</v>
      </c>
      <c r="I79" s="45">
        <v>780</v>
      </c>
      <c r="J79" s="45">
        <v>130</v>
      </c>
      <c r="K79" s="46">
        <v>3.2</v>
      </c>
      <c r="L79" s="44">
        <v>21</v>
      </c>
      <c r="M79" s="44">
        <v>0</v>
      </c>
      <c r="N79" s="22"/>
      <c r="O79" s="1"/>
      <c r="P79" s="36"/>
      <c r="R79" s="66"/>
      <c r="S79" s="66"/>
      <c r="T79" s="8"/>
    </row>
    <row r="80" spans="1:20">
      <c r="A80" s="4">
        <f t="shared" si="1"/>
        <v>79</v>
      </c>
      <c r="B80" s="24">
        <v>2.8</v>
      </c>
      <c r="C80" s="24">
        <v>0.47499999999999998</v>
      </c>
      <c r="D80" s="24">
        <v>32.840000000000003</v>
      </c>
      <c r="E80" s="24">
        <v>14.99</v>
      </c>
      <c r="F80" s="57">
        <v>0.23634802631578949</v>
      </c>
      <c r="G80" s="44">
        <v>5.4</v>
      </c>
      <c r="H80" s="44">
        <v>6.5000000000000002E-2</v>
      </c>
      <c r="I80" s="45">
        <v>780</v>
      </c>
      <c r="J80" s="45">
        <v>130</v>
      </c>
      <c r="K80" s="46">
        <v>3.2</v>
      </c>
      <c r="L80" s="44">
        <v>21</v>
      </c>
      <c r="M80" s="44">
        <v>0</v>
      </c>
      <c r="N80" s="22"/>
      <c r="O80" s="1"/>
      <c r="P80" s="36"/>
      <c r="R80" s="66"/>
      <c r="S80" s="66"/>
      <c r="T80" s="8"/>
    </row>
    <row r="81" spans="1:21">
      <c r="A81" s="4">
        <f t="shared" si="1"/>
        <v>80</v>
      </c>
      <c r="B81" s="24">
        <v>2.5</v>
      </c>
      <c r="C81" s="24">
        <v>0.47499999999999998</v>
      </c>
      <c r="D81" s="24">
        <v>28.99</v>
      </c>
      <c r="E81" s="24">
        <v>14.89</v>
      </c>
      <c r="F81" s="57">
        <v>0.26155315789473682</v>
      </c>
      <c r="G81" s="44">
        <v>5.4</v>
      </c>
      <c r="H81" s="44">
        <v>6.5000000000000002E-2</v>
      </c>
      <c r="I81" s="45">
        <v>780</v>
      </c>
      <c r="J81" s="45">
        <v>130</v>
      </c>
      <c r="K81" s="46">
        <v>3.2</v>
      </c>
      <c r="L81" s="44">
        <v>21</v>
      </c>
      <c r="M81" s="44">
        <v>0</v>
      </c>
      <c r="N81" s="22"/>
      <c r="O81" s="1"/>
      <c r="P81" s="36"/>
      <c r="R81" s="66"/>
      <c r="S81" s="66"/>
      <c r="T81" s="8"/>
    </row>
    <row r="82" spans="1:21">
      <c r="A82" s="4">
        <f t="shared" si="1"/>
        <v>81</v>
      </c>
      <c r="B82" s="24">
        <v>1.7</v>
      </c>
      <c r="C82" s="24">
        <v>0.47499999999999998</v>
      </c>
      <c r="D82" s="24">
        <v>24.48</v>
      </c>
      <c r="E82" s="24">
        <v>14.79</v>
      </c>
      <c r="F82" s="57">
        <v>0.28543204334365319</v>
      </c>
      <c r="G82" s="44">
        <v>5.4</v>
      </c>
      <c r="H82" s="44">
        <v>6.5000000000000002E-2</v>
      </c>
      <c r="I82" s="45">
        <v>780</v>
      </c>
      <c r="J82" s="45">
        <v>130</v>
      </c>
      <c r="K82" s="46">
        <v>3.2</v>
      </c>
      <c r="L82" s="44">
        <v>21</v>
      </c>
      <c r="M82" s="44">
        <v>0</v>
      </c>
      <c r="N82" s="22"/>
      <c r="O82" s="1"/>
      <c r="P82" s="36"/>
      <c r="R82" s="66"/>
      <c r="S82" s="66"/>
      <c r="T82" s="8"/>
    </row>
    <row r="83" spans="1:21">
      <c r="A83" s="4">
        <f t="shared" si="1"/>
        <v>82</v>
      </c>
      <c r="B83" s="24">
        <v>0.9</v>
      </c>
      <c r="C83" s="24">
        <v>0.47499999999999998</v>
      </c>
      <c r="D83" s="24">
        <v>22.28</v>
      </c>
      <c r="E83" s="24">
        <v>14.73</v>
      </c>
      <c r="F83" s="57">
        <v>0.27217719298245613</v>
      </c>
      <c r="G83" s="44">
        <v>5.4</v>
      </c>
      <c r="H83" s="44">
        <v>6.5000000000000002E-2</v>
      </c>
      <c r="I83" s="45">
        <v>780</v>
      </c>
      <c r="J83" s="45">
        <v>130</v>
      </c>
      <c r="K83" s="46">
        <v>3.2</v>
      </c>
      <c r="L83" s="44">
        <v>21</v>
      </c>
      <c r="M83" s="44">
        <v>0</v>
      </c>
      <c r="N83" s="22"/>
      <c r="O83" s="1"/>
      <c r="P83" s="36"/>
      <c r="R83" s="66"/>
      <c r="S83" s="66"/>
      <c r="T83" s="8"/>
    </row>
    <row r="84" spans="1:21">
      <c r="A84" s="4">
        <f t="shared" si="1"/>
        <v>83</v>
      </c>
      <c r="B84" s="24">
        <v>1.36</v>
      </c>
      <c r="C84" s="24">
        <v>0.46499999999999997</v>
      </c>
      <c r="D84" s="24">
        <v>23.05</v>
      </c>
      <c r="E84" s="24">
        <v>9.81</v>
      </c>
      <c r="F84" s="57">
        <v>0.16173333333333337</v>
      </c>
      <c r="G84" s="44">
        <v>5.4</v>
      </c>
      <c r="H84" s="44">
        <v>6.5000000000000002E-2</v>
      </c>
      <c r="I84" s="45">
        <v>780</v>
      </c>
      <c r="J84" s="45">
        <v>130</v>
      </c>
      <c r="K84" s="46">
        <v>3.2</v>
      </c>
      <c r="L84" s="44">
        <v>21</v>
      </c>
      <c r="M84" s="44">
        <v>0</v>
      </c>
      <c r="N84" s="22"/>
      <c r="O84" s="1"/>
      <c r="P84" s="36"/>
      <c r="R84" s="66"/>
      <c r="S84" s="66"/>
      <c r="T84" s="8"/>
    </row>
    <row r="85" spans="1:21">
      <c r="A85" s="4">
        <f t="shared" si="1"/>
        <v>84</v>
      </c>
      <c r="B85" s="24">
        <v>2.82</v>
      </c>
      <c r="C85" s="24">
        <v>0.42499999999999999</v>
      </c>
      <c r="D85" s="24">
        <v>36.17</v>
      </c>
      <c r="E85" s="24">
        <v>6.33</v>
      </c>
      <c r="F85" s="57">
        <v>0.11916470588235294</v>
      </c>
      <c r="G85" s="44">
        <v>5.4</v>
      </c>
      <c r="H85" s="44">
        <v>6.5000000000000002E-2</v>
      </c>
      <c r="I85" s="45">
        <v>780</v>
      </c>
      <c r="J85" s="45">
        <v>130</v>
      </c>
      <c r="K85" s="46">
        <v>3.2</v>
      </c>
      <c r="L85" s="44">
        <v>21</v>
      </c>
      <c r="M85" s="44">
        <v>0</v>
      </c>
      <c r="N85" s="22"/>
      <c r="O85" s="1"/>
      <c r="P85" s="36"/>
      <c r="R85" s="66"/>
      <c r="S85" s="66"/>
      <c r="T85" s="8"/>
    </row>
    <row r="86" spans="1:21" s="34" customFormat="1" ht="15" thickBot="1">
      <c r="A86" s="39">
        <f t="shared" si="1"/>
        <v>85</v>
      </c>
      <c r="B86" s="40">
        <v>2.81</v>
      </c>
      <c r="C86" s="40">
        <v>0.505</v>
      </c>
      <c r="D86" s="40">
        <v>48.47</v>
      </c>
      <c r="E86" s="40">
        <v>13.27</v>
      </c>
      <c r="F86" s="58">
        <v>0.19341302913921291</v>
      </c>
      <c r="G86" s="48">
        <v>5.4</v>
      </c>
      <c r="H86" s="44">
        <v>6.5000000000000002E-2</v>
      </c>
      <c r="I86" s="49">
        <v>780</v>
      </c>
      <c r="J86" s="49">
        <v>130</v>
      </c>
      <c r="K86" s="46">
        <v>3.2</v>
      </c>
      <c r="L86" s="44">
        <v>21</v>
      </c>
      <c r="M86" s="48">
        <v>127</v>
      </c>
      <c r="N86" s="28"/>
      <c r="O86" s="1"/>
      <c r="P86" s="36"/>
      <c r="Q86"/>
      <c r="R86" s="66"/>
      <c r="S86" s="66"/>
      <c r="T86" s="8"/>
      <c r="U86"/>
    </row>
    <row r="87" spans="1:21">
      <c r="A87" s="37">
        <f t="shared" si="1"/>
        <v>86</v>
      </c>
      <c r="B87" s="38">
        <v>1.7</v>
      </c>
      <c r="C87" s="38">
        <v>0.47499999999999998</v>
      </c>
      <c r="D87" s="38">
        <v>49.72</v>
      </c>
      <c r="E87" s="38">
        <v>12.54</v>
      </c>
      <c r="F87" s="60">
        <v>0.33271411269349849</v>
      </c>
      <c r="G87" s="51">
        <v>5.4</v>
      </c>
      <c r="H87" s="44">
        <v>6.5000000000000002E-2</v>
      </c>
      <c r="I87" s="52">
        <v>780</v>
      </c>
      <c r="J87" s="52">
        <v>130</v>
      </c>
      <c r="K87" s="46">
        <v>3.2</v>
      </c>
      <c r="L87" s="51">
        <v>21</v>
      </c>
      <c r="M87" s="51">
        <v>69</v>
      </c>
      <c r="N87" s="22"/>
      <c r="O87" s="1"/>
      <c r="P87" s="36"/>
      <c r="R87" s="66"/>
      <c r="S87" s="66"/>
      <c r="T87" s="8"/>
    </row>
    <row r="88" spans="1:21">
      <c r="A88" s="4">
        <f t="shared" si="1"/>
        <v>87</v>
      </c>
      <c r="B88" s="24">
        <v>3.42</v>
      </c>
      <c r="C88" s="24">
        <v>0.47499999999999998</v>
      </c>
      <c r="D88" s="24">
        <v>51.13</v>
      </c>
      <c r="E88" s="24">
        <v>16.14</v>
      </c>
      <c r="F88" s="57">
        <v>0.37566572299168982</v>
      </c>
      <c r="G88" s="44">
        <v>5.4</v>
      </c>
      <c r="H88" s="44">
        <v>6.5000000000000002E-2</v>
      </c>
      <c r="I88" s="45">
        <v>780</v>
      </c>
      <c r="J88" s="45">
        <v>130</v>
      </c>
      <c r="K88" s="46">
        <v>3.2</v>
      </c>
      <c r="L88" s="44">
        <v>21</v>
      </c>
      <c r="M88" s="51">
        <v>69</v>
      </c>
      <c r="N88" s="22"/>
      <c r="O88" s="1"/>
      <c r="P88" s="36"/>
      <c r="R88" s="66"/>
      <c r="S88" s="66"/>
      <c r="T88" s="8"/>
    </row>
    <row r="89" spans="1:21">
      <c r="A89" s="4">
        <f t="shared" si="1"/>
        <v>88</v>
      </c>
      <c r="B89" s="24">
        <v>3.15</v>
      </c>
      <c r="C89" s="24">
        <v>0.47499999999999998</v>
      </c>
      <c r="D89" s="24">
        <v>52.81</v>
      </c>
      <c r="E89" s="24">
        <v>20.420000000000002</v>
      </c>
      <c r="F89" s="57">
        <v>0.34984137009189648</v>
      </c>
      <c r="G89" s="44">
        <v>5.4</v>
      </c>
      <c r="H89" s="44">
        <v>6.5000000000000002E-2</v>
      </c>
      <c r="I89" s="45">
        <v>780</v>
      </c>
      <c r="J89" s="45">
        <v>130</v>
      </c>
      <c r="K89" s="46">
        <v>3.2</v>
      </c>
      <c r="L89" s="44">
        <v>21</v>
      </c>
      <c r="M89" s="51">
        <v>69</v>
      </c>
      <c r="N89" s="22"/>
      <c r="O89" s="1"/>
      <c r="P89" s="36"/>
      <c r="R89" s="66"/>
      <c r="S89" s="66"/>
      <c r="T89" s="8"/>
    </row>
    <row r="90" spans="1:21">
      <c r="A90" s="4">
        <f t="shared" si="1"/>
        <v>89</v>
      </c>
      <c r="B90" s="24">
        <v>1</v>
      </c>
      <c r="C90" s="24">
        <v>0.47499999999999998</v>
      </c>
      <c r="D90" s="24">
        <v>54.03</v>
      </c>
      <c r="E90" s="24">
        <v>23.55</v>
      </c>
      <c r="F90" s="57">
        <v>0.43364107578947364</v>
      </c>
      <c r="G90" s="44">
        <v>5.4</v>
      </c>
      <c r="H90" s="44">
        <v>6.5000000000000002E-2</v>
      </c>
      <c r="I90" s="45">
        <v>780</v>
      </c>
      <c r="J90" s="45">
        <v>130</v>
      </c>
      <c r="K90" s="46">
        <v>3.2</v>
      </c>
      <c r="L90" s="44">
        <v>21</v>
      </c>
      <c r="M90" s="51">
        <v>69</v>
      </c>
      <c r="N90" s="22"/>
      <c r="O90" s="1"/>
      <c r="P90" s="36"/>
      <c r="R90" s="66"/>
      <c r="S90" s="66"/>
      <c r="T90" s="8"/>
    </row>
    <row r="91" spans="1:21">
      <c r="A91" s="4">
        <f t="shared" si="1"/>
        <v>90</v>
      </c>
      <c r="B91" s="24">
        <v>0.6</v>
      </c>
      <c r="C91" s="24">
        <v>0.47499999999999998</v>
      </c>
      <c r="D91" s="24">
        <v>54.69</v>
      </c>
      <c r="E91" s="24">
        <v>25.23</v>
      </c>
      <c r="F91" s="57">
        <v>0.38034862456140345</v>
      </c>
      <c r="G91" s="44">
        <v>5.4</v>
      </c>
      <c r="H91" s="44">
        <v>6.5000000000000002E-2</v>
      </c>
      <c r="I91" s="45">
        <v>780</v>
      </c>
      <c r="J91" s="45">
        <v>130</v>
      </c>
      <c r="K91" s="46">
        <v>3.2</v>
      </c>
      <c r="L91" s="44">
        <v>21</v>
      </c>
      <c r="M91" s="51">
        <v>69</v>
      </c>
      <c r="N91" s="22"/>
      <c r="O91" s="1"/>
      <c r="P91" s="36"/>
      <c r="R91" s="66"/>
      <c r="S91" s="66"/>
      <c r="T91" s="8"/>
    </row>
    <row r="92" spans="1:21">
      <c r="A92" s="4">
        <f t="shared" si="1"/>
        <v>91</v>
      </c>
      <c r="B92" s="24">
        <v>1.96</v>
      </c>
      <c r="C92" s="24">
        <v>0.35499999999999998</v>
      </c>
      <c r="D92" s="24">
        <v>47.18</v>
      </c>
      <c r="E92" s="24">
        <v>26.04</v>
      </c>
      <c r="F92" s="57">
        <v>0.40083265593561362</v>
      </c>
      <c r="G92" s="44">
        <v>5.4</v>
      </c>
      <c r="H92" s="44">
        <v>6.5000000000000002E-2</v>
      </c>
      <c r="I92" s="45">
        <v>780</v>
      </c>
      <c r="J92" s="45">
        <v>130</v>
      </c>
      <c r="K92" s="46">
        <v>3.2</v>
      </c>
      <c r="L92" s="44">
        <v>21</v>
      </c>
      <c r="M92" s="44">
        <v>172</v>
      </c>
      <c r="N92" s="22"/>
      <c r="O92" s="1"/>
      <c r="P92" s="36"/>
      <c r="R92" s="66"/>
      <c r="S92" s="66"/>
      <c r="T92" s="8"/>
    </row>
    <row r="93" spans="1:21">
      <c r="A93" s="4">
        <f t="shared" si="1"/>
        <v>92</v>
      </c>
      <c r="B93" s="24">
        <v>2</v>
      </c>
      <c r="C93" s="24">
        <v>0.35499999999999998</v>
      </c>
      <c r="D93" s="24">
        <v>50.17</v>
      </c>
      <c r="E93" s="24">
        <v>25.71</v>
      </c>
      <c r="F93" s="57">
        <v>0.49839942394366205</v>
      </c>
      <c r="G93" s="44">
        <v>5.4</v>
      </c>
      <c r="H93" s="44">
        <v>6.5000000000000002E-2</v>
      </c>
      <c r="I93" s="45">
        <v>780</v>
      </c>
      <c r="J93" s="45">
        <v>130</v>
      </c>
      <c r="K93" s="46">
        <v>3.2</v>
      </c>
      <c r="L93" s="44">
        <v>21</v>
      </c>
      <c r="M93" s="55">
        <v>172</v>
      </c>
      <c r="N93" s="22"/>
      <c r="O93" s="1"/>
      <c r="P93" s="36"/>
      <c r="R93" s="66"/>
      <c r="S93" s="66"/>
      <c r="T93" s="8"/>
    </row>
    <row r="94" spans="1:21">
      <c r="A94" s="4">
        <f t="shared" si="1"/>
        <v>93</v>
      </c>
      <c r="B94" s="24">
        <v>2.27</v>
      </c>
      <c r="C94" s="24">
        <v>0.29499999999999998</v>
      </c>
      <c r="D94" s="24">
        <v>50.29</v>
      </c>
      <c r="E94" s="24">
        <v>21.16</v>
      </c>
      <c r="F94" s="57">
        <v>0.31448920032852984</v>
      </c>
      <c r="G94" s="44">
        <v>5.4</v>
      </c>
      <c r="H94" s="44">
        <v>6.5000000000000002E-2</v>
      </c>
      <c r="I94" s="45">
        <v>780</v>
      </c>
      <c r="J94" s="45">
        <v>130</v>
      </c>
      <c r="K94" s="46">
        <v>3.2</v>
      </c>
      <c r="L94" s="44">
        <v>21</v>
      </c>
      <c r="M94" s="55">
        <v>162</v>
      </c>
      <c r="N94" s="22"/>
      <c r="O94" s="1"/>
      <c r="P94" s="36"/>
      <c r="R94" s="66"/>
      <c r="S94" s="66"/>
      <c r="T94" s="8"/>
    </row>
    <row r="95" spans="1:21">
      <c r="A95" s="4">
        <f t="shared" si="1"/>
        <v>94</v>
      </c>
      <c r="B95" s="24">
        <v>3.31</v>
      </c>
      <c r="C95" s="24">
        <v>0.13500000000000001</v>
      </c>
      <c r="D95" s="24">
        <v>49.33</v>
      </c>
      <c r="E95" s="24">
        <v>23.02</v>
      </c>
      <c r="F95" s="57">
        <v>0.28864753272910376</v>
      </c>
      <c r="G95" s="44">
        <v>5.4</v>
      </c>
      <c r="H95" s="44">
        <v>6.3E-2</v>
      </c>
      <c r="I95" s="45">
        <v>756</v>
      </c>
      <c r="J95" s="45">
        <v>126</v>
      </c>
      <c r="K95" s="46">
        <v>2.41</v>
      </c>
      <c r="L95" s="44">
        <v>18</v>
      </c>
      <c r="M95" s="55">
        <v>85</v>
      </c>
      <c r="N95" s="22"/>
      <c r="O95" s="1"/>
      <c r="P95" s="36"/>
      <c r="R95" s="66"/>
      <c r="S95" s="66"/>
      <c r="T95" s="8"/>
    </row>
    <row r="96" spans="1:21">
      <c r="A96" s="4">
        <f t="shared" si="1"/>
        <v>95</v>
      </c>
      <c r="B96" s="24">
        <v>2.2200000000000002</v>
      </c>
      <c r="C96" s="24">
        <v>0.29499999999999998</v>
      </c>
      <c r="D96" s="24">
        <v>51.51</v>
      </c>
      <c r="E96" s="24">
        <v>24.42</v>
      </c>
      <c r="F96" s="57">
        <v>0.29290765002290431</v>
      </c>
      <c r="G96" s="44">
        <v>5.4</v>
      </c>
      <c r="H96" s="44">
        <v>6.5000000000000002E-2</v>
      </c>
      <c r="I96" s="45">
        <v>780</v>
      </c>
      <c r="J96" s="45">
        <v>130</v>
      </c>
      <c r="K96" s="46">
        <v>3.2</v>
      </c>
      <c r="L96" s="44">
        <v>21</v>
      </c>
      <c r="M96" s="55">
        <v>162</v>
      </c>
      <c r="N96" s="22"/>
      <c r="O96" s="1"/>
      <c r="P96" s="36"/>
      <c r="R96" s="66"/>
      <c r="S96" s="66"/>
      <c r="T96" s="8"/>
    </row>
    <row r="97" spans="1:20">
      <c r="A97" s="4">
        <f t="shared" si="1"/>
        <v>96</v>
      </c>
      <c r="B97" s="24">
        <v>2.4</v>
      </c>
      <c r="C97" s="24">
        <v>0.35499999999999998</v>
      </c>
      <c r="D97" s="24">
        <v>45.87</v>
      </c>
      <c r="E97" s="24">
        <v>25.59</v>
      </c>
      <c r="F97" s="57">
        <v>0.24606851877934272</v>
      </c>
      <c r="G97" s="44">
        <v>5.4</v>
      </c>
      <c r="H97" s="44">
        <v>6.5000000000000002E-2</v>
      </c>
      <c r="I97" s="45">
        <v>780</v>
      </c>
      <c r="J97" s="45">
        <v>130</v>
      </c>
      <c r="K97" s="46">
        <v>3.2</v>
      </c>
      <c r="L97" s="44">
        <v>21</v>
      </c>
      <c r="M97" s="55">
        <v>84</v>
      </c>
      <c r="N97" s="22"/>
      <c r="O97" s="1"/>
      <c r="P97" s="36"/>
      <c r="R97" s="66"/>
      <c r="S97" s="66"/>
      <c r="T97" s="8"/>
    </row>
    <row r="98" spans="1:20">
      <c r="A98" s="4">
        <f t="shared" si="1"/>
        <v>97</v>
      </c>
      <c r="B98" s="24">
        <v>3.5</v>
      </c>
      <c r="C98" s="24">
        <v>0.35499999999999998</v>
      </c>
      <c r="D98" s="24">
        <v>45.44</v>
      </c>
      <c r="E98" s="24">
        <v>21.47</v>
      </c>
      <c r="F98" s="57">
        <v>0.29420881690140843</v>
      </c>
      <c r="G98" s="44">
        <v>5.4</v>
      </c>
      <c r="H98" s="44">
        <v>6.5000000000000002E-2</v>
      </c>
      <c r="I98" s="45">
        <v>780</v>
      </c>
      <c r="J98" s="45">
        <v>130</v>
      </c>
      <c r="K98" s="46">
        <v>3.2</v>
      </c>
      <c r="L98" s="44">
        <v>21</v>
      </c>
      <c r="M98" s="55">
        <v>84</v>
      </c>
      <c r="N98" s="22"/>
      <c r="O98" s="1"/>
      <c r="P98" s="36"/>
      <c r="R98" s="66"/>
      <c r="S98" s="66"/>
      <c r="T98" s="8"/>
    </row>
    <row r="99" spans="1:20">
      <c r="A99" s="4">
        <f t="shared" si="1"/>
        <v>98</v>
      </c>
      <c r="B99" s="24">
        <v>1.3</v>
      </c>
      <c r="C99" s="24">
        <v>0.35499999999999998</v>
      </c>
      <c r="D99" s="24">
        <v>45.07</v>
      </c>
      <c r="E99" s="24">
        <v>17.86</v>
      </c>
      <c r="F99" s="57">
        <v>0.32312175189599129</v>
      </c>
      <c r="G99" s="44">
        <v>5.4</v>
      </c>
      <c r="H99" s="44">
        <v>6.5000000000000002E-2</v>
      </c>
      <c r="I99" s="45">
        <v>780</v>
      </c>
      <c r="J99" s="45">
        <v>130</v>
      </c>
      <c r="K99" s="46">
        <v>3.2</v>
      </c>
      <c r="L99" s="44">
        <v>21</v>
      </c>
      <c r="M99" s="55">
        <v>84</v>
      </c>
      <c r="N99" s="22"/>
      <c r="O99" s="1"/>
      <c r="P99" s="36"/>
      <c r="R99" s="66"/>
      <c r="S99" s="66"/>
      <c r="T99" s="8"/>
    </row>
    <row r="100" spans="1:20">
      <c r="A100" s="4">
        <f t="shared" si="1"/>
        <v>99</v>
      </c>
      <c r="B100" s="24">
        <v>1.77</v>
      </c>
      <c r="C100" s="24">
        <v>0.155</v>
      </c>
      <c r="D100" s="24">
        <v>47.3</v>
      </c>
      <c r="E100" s="24">
        <v>21.81</v>
      </c>
      <c r="F100" s="57">
        <v>0.79409892473118271</v>
      </c>
      <c r="G100" s="44">
        <v>5.4</v>
      </c>
      <c r="H100" s="44">
        <v>6.3E-2</v>
      </c>
      <c r="I100" s="45">
        <v>756</v>
      </c>
      <c r="J100" s="45">
        <v>126</v>
      </c>
      <c r="K100" s="46">
        <v>2.41</v>
      </c>
      <c r="L100" s="44">
        <v>18</v>
      </c>
      <c r="M100" s="55">
        <v>174</v>
      </c>
      <c r="N100" s="22"/>
      <c r="O100" s="1"/>
      <c r="P100" s="36"/>
      <c r="R100" s="66"/>
      <c r="S100" s="66"/>
      <c r="T100" s="8"/>
    </row>
    <row r="101" spans="1:20">
      <c r="A101" s="4">
        <f t="shared" si="1"/>
        <v>100</v>
      </c>
      <c r="B101" s="24">
        <v>0.88</v>
      </c>
      <c r="C101" s="24">
        <v>0.35499999999999998</v>
      </c>
      <c r="D101" s="24">
        <v>46.69</v>
      </c>
      <c r="E101" s="24">
        <v>33.61</v>
      </c>
      <c r="F101" s="57">
        <v>0.12716517285531367</v>
      </c>
      <c r="G101" s="44">
        <v>5.4</v>
      </c>
      <c r="H101" s="44">
        <v>6.5000000000000002E-2</v>
      </c>
      <c r="I101" s="45">
        <v>780</v>
      </c>
      <c r="J101" s="45">
        <v>130</v>
      </c>
      <c r="K101" s="46">
        <v>3.2</v>
      </c>
      <c r="L101" s="44">
        <v>21</v>
      </c>
      <c r="M101" s="55">
        <v>84</v>
      </c>
      <c r="N101" s="22"/>
      <c r="O101" s="1"/>
      <c r="P101" s="36"/>
      <c r="R101" s="66"/>
      <c r="S101" s="66"/>
      <c r="T101" s="8"/>
    </row>
    <row r="102" spans="1:20">
      <c r="A102" s="4">
        <f t="shared" si="1"/>
        <v>101</v>
      </c>
      <c r="B102" s="24">
        <v>3.3</v>
      </c>
      <c r="C102" s="24">
        <v>0.35499999999999998</v>
      </c>
      <c r="D102" s="24">
        <v>46.35</v>
      </c>
      <c r="E102" s="24">
        <v>30.34</v>
      </c>
      <c r="F102" s="57">
        <v>0.12618463508322664</v>
      </c>
      <c r="G102" s="44">
        <v>5.4</v>
      </c>
      <c r="H102" s="44">
        <v>6.5000000000000002E-2</v>
      </c>
      <c r="I102" s="45">
        <v>780</v>
      </c>
      <c r="J102" s="45">
        <v>130</v>
      </c>
      <c r="K102" s="46">
        <v>3.2</v>
      </c>
      <c r="L102" s="44">
        <v>21</v>
      </c>
      <c r="M102" s="55">
        <v>84</v>
      </c>
      <c r="N102" s="22"/>
      <c r="O102" s="1"/>
      <c r="P102" s="36"/>
      <c r="R102" s="66"/>
      <c r="S102" s="66"/>
      <c r="T102" s="8"/>
    </row>
    <row r="103" spans="1:20">
      <c r="A103" s="4">
        <f t="shared" si="1"/>
        <v>102</v>
      </c>
      <c r="B103" s="24">
        <v>0.72</v>
      </c>
      <c r="C103" s="24">
        <v>0.35499999999999998</v>
      </c>
      <c r="D103" s="24">
        <v>46.03</v>
      </c>
      <c r="E103" s="24">
        <v>17.14</v>
      </c>
      <c r="F103" s="57">
        <v>0.16751974960876367</v>
      </c>
      <c r="G103" s="44">
        <v>5.4</v>
      </c>
      <c r="H103" s="44">
        <v>6.5000000000000002E-2</v>
      </c>
      <c r="I103" s="45">
        <v>780</v>
      </c>
      <c r="J103" s="45">
        <v>130</v>
      </c>
      <c r="K103" s="46">
        <v>3.2</v>
      </c>
      <c r="L103" s="44">
        <v>21</v>
      </c>
      <c r="M103" s="55">
        <v>84</v>
      </c>
      <c r="N103" s="22"/>
      <c r="O103" s="1"/>
      <c r="P103" s="36"/>
      <c r="R103" s="66"/>
      <c r="S103" s="66"/>
      <c r="T103" s="8"/>
    </row>
    <row r="104" spans="1:20">
      <c r="A104" s="4">
        <f t="shared" si="1"/>
        <v>103</v>
      </c>
      <c r="B104" s="24">
        <v>2.1</v>
      </c>
      <c r="C104" s="24">
        <v>0.35499999999999998</v>
      </c>
      <c r="D104" s="24">
        <v>51.18</v>
      </c>
      <c r="E104" s="24">
        <v>33.47</v>
      </c>
      <c r="F104" s="57">
        <v>0.12882741784037563</v>
      </c>
      <c r="G104" s="44">
        <v>5.4</v>
      </c>
      <c r="H104" s="44">
        <v>6.5000000000000002E-2</v>
      </c>
      <c r="I104" s="45">
        <v>780</v>
      </c>
      <c r="J104" s="45">
        <v>130</v>
      </c>
      <c r="K104" s="46">
        <v>3.2</v>
      </c>
      <c r="L104" s="44">
        <v>21</v>
      </c>
      <c r="M104" s="55">
        <v>175</v>
      </c>
      <c r="N104" s="22"/>
      <c r="O104" s="1"/>
      <c r="P104" s="36"/>
      <c r="R104" s="66"/>
      <c r="S104" s="66"/>
      <c r="T104" s="8"/>
    </row>
    <row r="105" spans="1:20">
      <c r="A105" s="4">
        <f t="shared" si="1"/>
        <v>104</v>
      </c>
      <c r="B105" s="24">
        <v>2</v>
      </c>
      <c r="C105" s="24">
        <v>0.35499999999999998</v>
      </c>
      <c r="D105" s="24">
        <v>47.54</v>
      </c>
      <c r="E105" s="24">
        <v>33.81</v>
      </c>
      <c r="F105" s="57">
        <v>0.12319203380281692</v>
      </c>
      <c r="G105" s="44">
        <v>5.4</v>
      </c>
      <c r="H105" s="44">
        <v>6.5000000000000002E-2</v>
      </c>
      <c r="I105" s="45">
        <v>780</v>
      </c>
      <c r="J105" s="45">
        <v>130</v>
      </c>
      <c r="K105" s="46">
        <v>3.2</v>
      </c>
      <c r="L105" s="44">
        <v>21</v>
      </c>
      <c r="M105" s="55">
        <v>175</v>
      </c>
      <c r="N105" s="22"/>
      <c r="O105" s="1"/>
      <c r="P105" s="36"/>
      <c r="R105" s="66"/>
      <c r="S105" s="66"/>
      <c r="T105" s="8"/>
    </row>
    <row r="106" spans="1:20">
      <c r="A106" s="4">
        <f t="shared" si="1"/>
        <v>105</v>
      </c>
      <c r="B106" s="24">
        <v>0.5</v>
      </c>
      <c r="C106" s="24">
        <v>0.35499999999999998</v>
      </c>
      <c r="D106" s="24">
        <v>50.33</v>
      </c>
      <c r="E106" s="24">
        <v>26.07</v>
      </c>
      <c r="F106" s="57">
        <v>0.12936157746478874</v>
      </c>
      <c r="G106" s="44">
        <v>5.4</v>
      </c>
      <c r="H106" s="44">
        <v>6.5000000000000002E-2</v>
      </c>
      <c r="I106" s="45">
        <v>780</v>
      </c>
      <c r="J106" s="45">
        <v>130</v>
      </c>
      <c r="K106" s="46">
        <v>3.2</v>
      </c>
      <c r="L106" s="44">
        <v>21</v>
      </c>
      <c r="M106" s="55">
        <v>71</v>
      </c>
      <c r="N106" s="22"/>
      <c r="O106" s="1"/>
      <c r="P106" s="36"/>
      <c r="R106" s="66"/>
      <c r="S106" s="66"/>
      <c r="T106" s="8"/>
    </row>
    <row r="107" spans="1:20">
      <c r="A107" s="4">
        <f t="shared" si="1"/>
        <v>106</v>
      </c>
      <c r="B107" s="24">
        <v>0.9</v>
      </c>
      <c r="C107" s="24">
        <v>0.35499999999999998</v>
      </c>
      <c r="D107" s="24">
        <v>51.87</v>
      </c>
      <c r="E107" s="24">
        <v>30.51</v>
      </c>
      <c r="F107" s="57">
        <v>0.13314863223787168</v>
      </c>
      <c r="G107" s="44">
        <v>5.4</v>
      </c>
      <c r="H107" s="44">
        <v>6.5000000000000002E-2</v>
      </c>
      <c r="I107" s="45">
        <v>780</v>
      </c>
      <c r="J107" s="45">
        <v>130</v>
      </c>
      <c r="K107" s="46">
        <v>3.2</v>
      </c>
      <c r="L107" s="44">
        <v>21</v>
      </c>
      <c r="M107" s="55">
        <v>71</v>
      </c>
      <c r="N107" s="22"/>
      <c r="O107" s="1"/>
      <c r="P107" s="36"/>
      <c r="R107" s="66"/>
      <c r="S107" s="66"/>
      <c r="T107" s="8"/>
    </row>
    <row r="108" spans="1:20">
      <c r="A108" s="4">
        <f t="shared" si="1"/>
        <v>107</v>
      </c>
      <c r="B108" s="24">
        <v>1.25</v>
      </c>
      <c r="C108" s="24">
        <v>0.35499999999999998</v>
      </c>
      <c r="D108" s="24">
        <v>52.71</v>
      </c>
      <c r="E108" s="24">
        <v>32.94</v>
      </c>
      <c r="F108" s="57">
        <v>0.13010364845070424</v>
      </c>
      <c r="G108" s="44">
        <v>5.4</v>
      </c>
      <c r="H108" s="44">
        <v>6.5000000000000002E-2</v>
      </c>
      <c r="I108" s="45">
        <v>780</v>
      </c>
      <c r="J108" s="45">
        <v>130</v>
      </c>
      <c r="K108" s="46">
        <v>3.2</v>
      </c>
      <c r="L108" s="44">
        <v>21</v>
      </c>
      <c r="M108" s="55">
        <v>71</v>
      </c>
      <c r="N108" s="22"/>
      <c r="O108" s="1"/>
      <c r="P108" s="36"/>
      <c r="R108" s="66"/>
      <c r="S108" s="66"/>
      <c r="T108" s="8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DC63F-E81C-4D7E-B1B8-B45980971340}">
  <sheetPr codeName="Foglio4"/>
  <dimension ref="A1:AF92"/>
  <sheetViews>
    <sheetView zoomScale="77" zoomScaleNormal="115" workbookViewId="0">
      <selection activeCell="O1" sqref="O1:U65536"/>
    </sheetView>
  </sheetViews>
  <sheetFormatPr defaultColWidth="8.90625" defaultRowHeight="14.5"/>
  <cols>
    <col min="2" max="3" width="7.26953125" bestFit="1" customWidth="1"/>
    <col min="4" max="4" width="7" bestFit="1" customWidth="1"/>
    <col min="5" max="5" width="6.90625" bestFit="1" customWidth="1"/>
    <col min="6" max="6" width="8.453125" bestFit="1" customWidth="1"/>
    <col min="7" max="7" width="5.6328125" bestFit="1" customWidth="1"/>
    <col min="8" max="8" width="8.26953125" bestFit="1" customWidth="1"/>
    <col min="9" max="10" width="8.6328125" bestFit="1" customWidth="1"/>
    <col min="11" max="12" width="8.26953125" customWidth="1"/>
    <col min="13" max="14" width="9.453125" customWidth="1"/>
    <col min="15" max="15" width="21.6328125" customWidth="1"/>
    <col min="16" max="16" width="14.6328125" customWidth="1"/>
    <col min="17" max="17" width="8.54296875" customWidth="1"/>
    <col min="19" max="19" width="8.90625" customWidth="1"/>
    <col min="22" max="22" width="19.90625" customWidth="1"/>
    <col min="28" max="28" width="11" customWidth="1"/>
  </cols>
  <sheetData>
    <row r="1" spans="1:32">
      <c r="A1" s="68" t="s">
        <v>8</v>
      </c>
      <c r="B1" s="68" t="s">
        <v>9</v>
      </c>
      <c r="C1" s="68" t="s">
        <v>10</v>
      </c>
      <c r="D1" s="68" t="s">
        <v>11</v>
      </c>
      <c r="E1" s="68" t="s">
        <v>12</v>
      </c>
      <c r="F1" s="68" t="s">
        <v>13</v>
      </c>
      <c r="G1" s="68" t="s">
        <v>6</v>
      </c>
      <c r="H1" s="68" t="s">
        <v>14</v>
      </c>
      <c r="I1" s="68" t="s">
        <v>17</v>
      </c>
      <c r="J1" s="68" t="s">
        <v>18</v>
      </c>
      <c r="K1" s="68" t="s">
        <v>15</v>
      </c>
      <c r="L1" s="68" t="s">
        <v>16</v>
      </c>
      <c r="M1" s="68" t="s">
        <v>0</v>
      </c>
      <c r="N1" s="21"/>
      <c r="O1" s="68"/>
      <c r="P1" s="68"/>
      <c r="Q1" s="68"/>
      <c r="R1" s="68"/>
      <c r="S1" s="68"/>
      <c r="T1" s="68"/>
      <c r="U1" s="68"/>
      <c r="W1" s="8"/>
      <c r="X1" s="9"/>
      <c r="Y1" s="9"/>
      <c r="Z1" s="9"/>
      <c r="AA1" s="9"/>
      <c r="AB1" s="10"/>
      <c r="AC1" s="8"/>
      <c r="AD1" s="11"/>
      <c r="AE1" s="9"/>
      <c r="AF1" s="9"/>
    </row>
    <row r="2" spans="1:32">
      <c r="A2" s="4">
        <v>1</v>
      </c>
      <c r="B2" s="24">
        <v>0.69</v>
      </c>
      <c r="C2" s="24">
        <v>0.4</v>
      </c>
      <c r="D2" s="24">
        <v>3.74</v>
      </c>
      <c r="E2" s="24">
        <v>8.33</v>
      </c>
      <c r="F2" s="63">
        <v>0.22620000000000001</v>
      </c>
      <c r="G2" s="44">
        <v>4.2</v>
      </c>
      <c r="H2" s="44">
        <v>6.5000000000000002E-2</v>
      </c>
      <c r="I2" s="45">
        <v>780</v>
      </c>
      <c r="J2" s="45">
        <v>130</v>
      </c>
      <c r="K2" s="46">
        <v>3.2</v>
      </c>
      <c r="L2" s="44">
        <v>21</v>
      </c>
      <c r="M2" s="44">
        <v>61</v>
      </c>
      <c r="N2" s="22"/>
      <c r="O2" s="1"/>
      <c r="P2" s="36"/>
      <c r="R2" s="66"/>
      <c r="S2" s="66"/>
      <c r="T2" s="8"/>
      <c r="W2" s="5"/>
      <c r="X2" s="6"/>
      <c r="Y2" s="6"/>
      <c r="Z2" s="6"/>
      <c r="AA2" s="6"/>
      <c r="AB2" s="12"/>
      <c r="AC2" s="5"/>
      <c r="AD2" s="7"/>
      <c r="AE2" s="5"/>
      <c r="AF2" s="5"/>
    </row>
    <row r="3" spans="1:32">
      <c r="A3" s="4">
        <f>A2+1</f>
        <v>2</v>
      </c>
      <c r="B3" s="24">
        <v>4.5199999999999996</v>
      </c>
      <c r="C3" s="24">
        <v>0.4</v>
      </c>
      <c r="D3" s="24">
        <v>5.85</v>
      </c>
      <c r="E3" s="24">
        <v>12.2</v>
      </c>
      <c r="F3" s="63">
        <v>0.17309999999999998</v>
      </c>
      <c r="G3" s="44">
        <v>4.2</v>
      </c>
      <c r="H3" s="44">
        <v>6.5000000000000002E-2</v>
      </c>
      <c r="I3" s="45">
        <v>780</v>
      </c>
      <c r="J3" s="45">
        <v>130</v>
      </c>
      <c r="K3" s="46">
        <v>3.2</v>
      </c>
      <c r="L3" s="44">
        <v>21</v>
      </c>
      <c r="M3" s="44">
        <v>61</v>
      </c>
      <c r="N3" s="22"/>
      <c r="O3" s="1"/>
      <c r="P3" s="36"/>
      <c r="R3" s="66"/>
      <c r="S3" s="66"/>
      <c r="T3" s="8"/>
      <c r="V3" s="1"/>
      <c r="W3" s="5"/>
      <c r="X3" s="6"/>
      <c r="Y3" s="6"/>
      <c r="Z3" s="6"/>
      <c r="AA3" s="6"/>
      <c r="AB3" s="12"/>
      <c r="AC3" s="5"/>
      <c r="AD3" s="7"/>
      <c r="AE3" s="5"/>
      <c r="AF3" s="5"/>
    </row>
    <row r="4" spans="1:32">
      <c r="A4" s="4">
        <f>A3+1</f>
        <v>3</v>
      </c>
      <c r="B4" s="24">
        <v>0.9</v>
      </c>
      <c r="C4" s="24">
        <v>0.4</v>
      </c>
      <c r="D4" s="24">
        <v>7.53</v>
      </c>
      <c r="E4" s="24">
        <v>15.31</v>
      </c>
      <c r="F4" s="63">
        <v>0.34820000000000001</v>
      </c>
      <c r="G4" s="44">
        <v>4.2</v>
      </c>
      <c r="H4" s="44">
        <v>6.5000000000000002E-2</v>
      </c>
      <c r="I4" s="45">
        <v>780</v>
      </c>
      <c r="J4" s="45">
        <v>130</v>
      </c>
      <c r="K4" s="46">
        <v>3.2</v>
      </c>
      <c r="L4" s="44">
        <v>21</v>
      </c>
      <c r="M4" s="44">
        <v>61</v>
      </c>
      <c r="N4" s="22"/>
      <c r="O4" s="1"/>
      <c r="P4" s="36"/>
      <c r="R4" s="66"/>
      <c r="S4" s="66"/>
      <c r="T4" s="8"/>
      <c r="V4" s="1"/>
      <c r="W4" s="5"/>
      <c r="X4" s="6"/>
      <c r="Y4" s="6"/>
      <c r="Z4" s="6"/>
      <c r="AA4" s="6"/>
      <c r="AB4" s="12"/>
      <c r="AC4" s="5"/>
      <c r="AD4" s="7"/>
      <c r="AE4" s="5"/>
      <c r="AF4" s="5"/>
    </row>
    <row r="5" spans="1:32">
      <c r="A5" s="4">
        <f>A4+1</f>
        <v>4</v>
      </c>
      <c r="B5" s="24">
        <v>0.78</v>
      </c>
      <c r="C5" s="24">
        <v>0.4</v>
      </c>
      <c r="D5" s="24">
        <v>10.73</v>
      </c>
      <c r="E5" s="24">
        <v>20.53</v>
      </c>
      <c r="F5" s="63">
        <v>0.3518</v>
      </c>
      <c r="G5" s="44">
        <v>4.2</v>
      </c>
      <c r="H5" s="44">
        <v>6.5000000000000002E-2</v>
      </c>
      <c r="I5" s="45">
        <v>780</v>
      </c>
      <c r="J5" s="45">
        <v>130</v>
      </c>
      <c r="K5" s="46">
        <v>3.2</v>
      </c>
      <c r="L5" s="44">
        <v>21</v>
      </c>
      <c r="M5" s="44">
        <v>61</v>
      </c>
      <c r="N5" s="22"/>
      <c r="O5" s="1"/>
      <c r="P5" s="36"/>
      <c r="R5" s="66"/>
      <c r="S5" s="66"/>
      <c r="T5" s="8"/>
      <c r="V5" s="1"/>
      <c r="W5" s="5"/>
      <c r="X5" s="6"/>
      <c r="Y5" s="6"/>
      <c r="Z5" s="6"/>
      <c r="AA5" s="6"/>
      <c r="AB5" s="12"/>
      <c r="AC5" s="5"/>
      <c r="AD5" s="7"/>
      <c r="AE5" s="5"/>
      <c r="AF5" s="5"/>
    </row>
    <row r="6" spans="1:32">
      <c r="A6" s="4">
        <f t="shared" ref="A6:A69" si="0">A5+1</f>
        <v>5</v>
      </c>
      <c r="B6" s="24">
        <v>0.52</v>
      </c>
      <c r="C6" s="24">
        <v>0.255</v>
      </c>
      <c r="D6" s="24">
        <v>7.38</v>
      </c>
      <c r="E6" s="24">
        <v>5.93</v>
      </c>
      <c r="F6" s="63">
        <v>0.35256823529411768</v>
      </c>
      <c r="G6" s="44">
        <v>4.2</v>
      </c>
      <c r="H6" s="44">
        <v>6.5000000000000002E-2</v>
      </c>
      <c r="I6" s="45">
        <v>780</v>
      </c>
      <c r="J6" s="45">
        <v>130</v>
      </c>
      <c r="K6" s="46">
        <v>3.2</v>
      </c>
      <c r="L6" s="44">
        <v>21</v>
      </c>
      <c r="M6" s="44">
        <v>61</v>
      </c>
      <c r="N6" s="22"/>
      <c r="O6" s="1"/>
      <c r="P6" s="36"/>
      <c r="R6" s="66"/>
      <c r="S6" s="66"/>
      <c r="T6" s="8"/>
      <c r="V6" s="1"/>
      <c r="W6" s="5"/>
      <c r="X6" s="6"/>
      <c r="Y6" s="6"/>
      <c r="Z6" s="6"/>
      <c r="AA6" s="6"/>
      <c r="AB6" s="12"/>
      <c r="AC6" s="5"/>
      <c r="AD6" s="7"/>
      <c r="AE6" s="5"/>
      <c r="AF6" s="5"/>
    </row>
    <row r="7" spans="1:32">
      <c r="A7" s="4">
        <f t="shared" si="0"/>
        <v>6</v>
      </c>
      <c r="B7" s="24">
        <v>0.63</v>
      </c>
      <c r="C7" s="24">
        <v>0.255</v>
      </c>
      <c r="D7" s="24">
        <v>8.24</v>
      </c>
      <c r="E7" s="24">
        <v>7.49</v>
      </c>
      <c r="F7" s="63">
        <v>0.32543734204793023</v>
      </c>
      <c r="G7" s="44">
        <v>4.2</v>
      </c>
      <c r="H7" s="44">
        <v>6.5000000000000002E-2</v>
      </c>
      <c r="I7" s="45">
        <v>780</v>
      </c>
      <c r="J7" s="45">
        <v>130</v>
      </c>
      <c r="K7" s="46">
        <v>3.2</v>
      </c>
      <c r="L7" s="44">
        <v>21</v>
      </c>
      <c r="M7" s="44">
        <v>61</v>
      </c>
      <c r="N7" s="22"/>
      <c r="O7" s="1"/>
      <c r="P7" s="36"/>
      <c r="R7" s="66"/>
      <c r="S7" s="66"/>
      <c r="T7" s="8"/>
      <c r="V7" s="1"/>
      <c r="W7" s="5"/>
      <c r="X7" s="6"/>
      <c r="Y7" s="6"/>
      <c r="Z7" s="6"/>
      <c r="AA7" s="6"/>
      <c r="AB7" s="12"/>
      <c r="AC7" s="5"/>
      <c r="AD7" s="7"/>
      <c r="AE7" s="5"/>
      <c r="AF7" s="5"/>
    </row>
    <row r="8" spans="1:32">
      <c r="A8" s="4">
        <f t="shared" si="0"/>
        <v>7</v>
      </c>
      <c r="B8" s="24">
        <v>2.62</v>
      </c>
      <c r="C8" s="24">
        <v>0.255</v>
      </c>
      <c r="D8" s="24">
        <v>9.43</v>
      </c>
      <c r="E8" s="24">
        <v>9.66</v>
      </c>
      <c r="F8" s="63">
        <v>0.22470922466696602</v>
      </c>
      <c r="G8" s="44">
        <v>4.2</v>
      </c>
      <c r="H8" s="44">
        <v>6.5000000000000002E-2</v>
      </c>
      <c r="I8" s="45">
        <v>780</v>
      </c>
      <c r="J8" s="45">
        <v>130</v>
      </c>
      <c r="K8" s="46">
        <v>3.2</v>
      </c>
      <c r="L8" s="44">
        <v>21</v>
      </c>
      <c r="M8" s="44">
        <v>61</v>
      </c>
      <c r="N8" s="22"/>
      <c r="O8" s="1"/>
      <c r="P8" s="36"/>
      <c r="R8" s="66"/>
      <c r="S8" s="66"/>
      <c r="T8" s="8"/>
      <c r="V8" s="1"/>
      <c r="W8" s="5"/>
      <c r="X8" s="6"/>
      <c r="Y8" s="6"/>
      <c r="Z8" s="6"/>
      <c r="AA8" s="6"/>
      <c r="AB8" s="12"/>
      <c r="AC8" s="5"/>
      <c r="AD8" s="7"/>
      <c r="AE8" s="5"/>
      <c r="AF8" s="5"/>
    </row>
    <row r="9" spans="1:32">
      <c r="A9" s="4">
        <f t="shared" si="0"/>
        <v>8</v>
      </c>
      <c r="B9" s="24">
        <v>5.0199999999999996</v>
      </c>
      <c r="C9" s="24">
        <v>0.255</v>
      </c>
      <c r="D9" s="24">
        <v>12.4</v>
      </c>
      <c r="E9" s="24">
        <v>15.05</v>
      </c>
      <c r="F9" s="63">
        <v>0.20007319350050778</v>
      </c>
      <c r="G9" s="44">
        <v>4.2</v>
      </c>
      <c r="H9" s="44">
        <v>6.5000000000000002E-2</v>
      </c>
      <c r="I9" s="45">
        <v>780</v>
      </c>
      <c r="J9" s="45">
        <v>130</v>
      </c>
      <c r="K9" s="46">
        <v>3.2</v>
      </c>
      <c r="L9" s="44">
        <v>21</v>
      </c>
      <c r="M9" s="44">
        <v>61</v>
      </c>
      <c r="N9" s="22"/>
      <c r="O9" s="1"/>
      <c r="P9" s="36"/>
      <c r="R9" s="66"/>
      <c r="S9" s="66"/>
      <c r="T9" s="8"/>
      <c r="V9" s="1"/>
      <c r="W9" s="5"/>
      <c r="X9" s="6"/>
      <c r="Y9" s="6"/>
      <c r="Z9" s="6"/>
      <c r="AA9" s="6"/>
      <c r="AB9" s="12"/>
      <c r="AC9" s="5"/>
      <c r="AD9" s="7"/>
      <c r="AE9" s="5"/>
      <c r="AF9" s="5"/>
    </row>
    <row r="10" spans="1:32">
      <c r="A10" s="4">
        <f t="shared" si="0"/>
        <v>9</v>
      </c>
      <c r="B10" s="24">
        <v>0.69</v>
      </c>
      <c r="C10" s="24">
        <v>0.255</v>
      </c>
      <c r="D10" s="24">
        <v>14.29</v>
      </c>
      <c r="E10" s="24">
        <v>18.489999999999998</v>
      </c>
      <c r="F10" s="63">
        <v>0.32907467462347256</v>
      </c>
      <c r="G10" s="44">
        <v>4.2</v>
      </c>
      <c r="H10" s="44">
        <v>6.5000000000000002E-2</v>
      </c>
      <c r="I10" s="45">
        <v>780</v>
      </c>
      <c r="J10" s="45">
        <v>130</v>
      </c>
      <c r="K10" s="46">
        <v>3.2</v>
      </c>
      <c r="L10" s="44">
        <v>21</v>
      </c>
      <c r="M10" s="44">
        <v>61</v>
      </c>
      <c r="N10" s="22"/>
      <c r="O10" s="1"/>
      <c r="P10" s="36"/>
      <c r="R10" s="66"/>
      <c r="S10" s="66"/>
      <c r="T10" s="8"/>
      <c r="V10" s="1"/>
      <c r="W10" s="5"/>
      <c r="X10" s="6"/>
      <c r="Y10" s="6"/>
      <c r="Z10" s="6"/>
      <c r="AA10" s="6"/>
      <c r="AB10" s="12"/>
      <c r="AC10" s="5"/>
      <c r="AD10" s="7"/>
      <c r="AE10" s="5"/>
      <c r="AF10" s="5"/>
    </row>
    <row r="11" spans="1:32">
      <c r="A11" s="4">
        <f t="shared" si="0"/>
        <v>10</v>
      </c>
      <c r="B11" s="24">
        <v>4.8499999999999996</v>
      </c>
      <c r="C11" s="24">
        <v>0.125</v>
      </c>
      <c r="D11" s="24">
        <v>12.19</v>
      </c>
      <c r="E11" s="24">
        <v>5.37</v>
      </c>
      <c r="F11" s="63">
        <v>0.21461154639175259</v>
      </c>
      <c r="G11" s="44">
        <v>4.2</v>
      </c>
      <c r="H11" s="44">
        <v>6.5000000000000002E-2</v>
      </c>
      <c r="I11" s="45">
        <v>780</v>
      </c>
      <c r="J11" s="45">
        <v>130</v>
      </c>
      <c r="K11" s="46">
        <v>3.2</v>
      </c>
      <c r="L11" s="44">
        <v>21</v>
      </c>
      <c r="M11" s="44">
        <v>61</v>
      </c>
      <c r="N11" s="22"/>
      <c r="O11" s="1"/>
      <c r="P11" s="36"/>
      <c r="R11" s="66"/>
      <c r="S11" s="66"/>
      <c r="T11" s="8"/>
      <c r="V11" s="1"/>
      <c r="W11" s="5"/>
      <c r="X11" s="6"/>
      <c r="Y11" s="6"/>
      <c r="Z11" s="6"/>
      <c r="AA11" s="6"/>
      <c r="AB11" s="12"/>
      <c r="AC11" s="5"/>
      <c r="AD11" s="7"/>
      <c r="AE11" s="5"/>
      <c r="AF11" s="5"/>
    </row>
    <row r="12" spans="1:32">
      <c r="A12" s="4">
        <f t="shared" si="0"/>
        <v>11</v>
      </c>
      <c r="B12" s="24">
        <v>4.3499999999999996</v>
      </c>
      <c r="C12" s="24">
        <v>0.125</v>
      </c>
      <c r="D12" s="24">
        <v>17.27</v>
      </c>
      <c r="E12" s="24">
        <v>14.89</v>
      </c>
      <c r="F12" s="63">
        <v>0.16494804597701154</v>
      </c>
      <c r="G12" s="44">
        <v>4.2</v>
      </c>
      <c r="H12" s="44">
        <v>6.5000000000000002E-2</v>
      </c>
      <c r="I12" s="45">
        <v>780</v>
      </c>
      <c r="J12" s="45">
        <v>130</v>
      </c>
      <c r="K12" s="46">
        <v>3.2</v>
      </c>
      <c r="L12" s="44">
        <v>21</v>
      </c>
      <c r="M12" s="44">
        <v>61</v>
      </c>
      <c r="N12" s="22"/>
      <c r="O12" s="1"/>
      <c r="P12" s="36"/>
      <c r="R12" s="66"/>
      <c r="S12" s="66"/>
      <c r="T12" s="8"/>
      <c r="V12" s="1"/>
      <c r="W12" s="5"/>
      <c r="X12" s="6"/>
      <c r="Y12" s="6"/>
      <c r="Z12" s="6"/>
      <c r="AA12" s="6"/>
      <c r="AB12" s="12"/>
      <c r="AC12" s="5"/>
      <c r="AD12" s="7"/>
      <c r="AE12" s="5"/>
      <c r="AF12" s="5"/>
    </row>
    <row r="13" spans="1:32">
      <c r="A13" s="4">
        <f t="shared" si="0"/>
        <v>12</v>
      </c>
      <c r="B13" s="24">
        <v>2.59</v>
      </c>
      <c r="C13" s="24">
        <v>0.45499999999999996</v>
      </c>
      <c r="D13" s="24">
        <v>4.33</v>
      </c>
      <c r="E13" s="24">
        <v>7.04</v>
      </c>
      <c r="F13" s="63">
        <v>0.15238262548262552</v>
      </c>
      <c r="G13" s="44">
        <v>4.2</v>
      </c>
      <c r="H13" s="44">
        <v>6.5000000000000002E-2</v>
      </c>
      <c r="I13" s="45">
        <v>780</v>
      </c>
      <c r="J13" s="45">
        <v>130</v>
      </c>
      <c r="K13" s="46">
        <v>3.2</v>
      </c>
      <c r="L13" s="44">
        <v>21</v>
      </c>
      <c r="M13" s="44">
        <v>148</v>
      </c>
      <c r="N13" s="22"/>
      <c r="O13" s="1"/>
      <c r="P13" s="36"/>
      <c r="R13" s="66"/>
      <c r="S13" s="66"/>
      <c r="T13" s="8"/>
      <c r="V13" s="1"/>
      <c r="W13" s="5"/>
      <c r="X13" s="6"/>
      <c r="Y13" s="6"/>
      <c r="Z13" s="6"/>
      <c r="AA13" s="6"/>
      <c r="AB13" s="12"/>
      <c r="AC13" s="5"/>
      <c r="AD13" s="7"/>
      <c r="AE13" s="5"/>
      <c r="AF13" s="5"/>
    </row>
    <row r="14" spans="1:32">
      <c r="A14" s="4">
        <f t="shared" si="0"/>
        <v>13</v>
      </c>
      <c r="B14" s="24">
        <v>2.29</v>
      </c>
      <c r="C14" s="24">
        <v>0.45499999999999996</v>
      </c>
      <c r="D14" s="24">
        <v>7.52</v>
      </c>
      <c r="E14" s="24">
        <v>5.0599999999999996</v>
      </c>
      <c r="F14" s="63">
        <v>0.16696394260761074</v>
      </c>
      <c r="G14" s="44">
        <v>4.2</v>
      </c>
      <c r="H14" s="44">
        <v>6.5000000000000002E-2</v>
      </c>
      <c r="I14" s="45">
        <v>780</v>
      </c>
      <c r="J14" s="45">
        <v>130</v>
      </c>
      <c r="K14" s="46">
        <v>3.2</v>
      </c>
      <c r="L14" s="44">
        <v>21</v>
      </c>
      <c r="M14" s="44">
        <v>148</v>
      </c>
      <c r="N14" s="22"/>
      <c r="O14" s="1"/>
      <c r="P14" s="36"/>
      <c r="R14" s="66"/>
      <c r="S14" s="66"/>
      <c r="T14" s="8"/>
      <c r="V14" s="1"/>
      <c r="W14" s="5"/>
      <c r="X14" s="6"/>
      <c r="Y14" s="6"/>
      <c r="Z14" s="6"/>
      <c r="AA14" s="6"/>
      <c r="AB14" s="12"/>
      <c r="AC14" s="5"/>
      <c r="AD14" s="7"/>
      <c r="AE14" s="5"/>
      <c r="AF14" s="5"/>
    </row>
    <row r="15" spans="1:32">
      <c r="A15" s="4">
        <f t="shared" si="0"/>
        <v>14</v>
      </c>
      <c r="B15" s="24">
        <v>2.27</v>
      </c>
      <c r="C15" s="24">
        <v>0.45499999999999996</v>
      </c>
      <c r="D15" s="24">
        <v>10.55</v>
      </c>
      <c r="E15" s="24">
        <v>3.17</v>
      </c>
      <c r="F15" s="63">
        <v>0.16719421019509131</v>
      </c>
      <c r="G15" s="44">
        <v>4.2</v>
      </c>
      <c r="H15" s="44">
        <v>6.5000000000000002E-2</v>
      </c>
      <c r="I15" s="45">
        <v>780</v>
      </c>
      <c r="J15" s="45">
        <v>130</v>
      </c>
      <c r="K15" s="46">
        <v>3.2</v>
      </c>
      <c r="L15" s="44">
        <v>21</v>
      </c>
      <c r="M15" s="44">
        <v>148</v>
      </c>
      <c r="N15" s="22"/>
      <c r="O15" s="1"/>
      <c r="P15" s="36"/>
      <c r="R15" s="66"/>
      <c r="S15" s="66"/>
      <c r="T15" s="8"/>
      <c r="V15" s="1"/>
      <c r="W15" s="5"/>
      <c r="X15" s="6"/>
      <c r="Y15" s="6"/>
      <c r="Z15" s="6"/>
      <c r="AA15" s="6"/>
      <c r="AB15" s="12"/>
      <c r="AC15" s="5"/>
      <c r="AD15" s="7"/>
      <c r="AE15" s="5"/>
      <c r="AF15" s="5"/>
    </row>
    <row r="16" spans="1:32">
      <c r="A16" s="4">
        <f t="shared" si="0"/>
        <v>15</v>
      </c>
      <c r="B16" s="24">
        <v>2.4500000000000002</v>
      </c>
      <c r="C16" s="24">
        <v>0.45499999999999996</v>
      </c>
      <c r="D16" s="24">
        <v>13.67</v>
      </c>
      <c r="E16" s="24">
        <v>1.24</v>
      </c>
      <c r="F16" s="63">
        <v>0.15304285714285715</v>
      </c>
      <c r="G16" s="44">
        <v>4.2</v>
      </c>
      <c r="H16" s="44">
        <v>6.5000000000000002E-2</v>
      </c>
      <c r="I16" s="45">
        <v>780</v>
      </c>
      <c r="J16" s="45">
        <v>130</v>
      </c>
      <c r="K16" s="46">
        <v>3.2</v>
      </c>
      <c r="L16" s="44">
        <v>21</v>
      </c>
      <c r="M16" s="44">
        <v>148</v>
      </c>
      <c r="N16" s="22"/>
      <c r="O16" s="1"/>
      <c r="P16" s="36"/>
      <c r="R16" s="66"/>
      <c r="S16" s="66"/>
      <c r="T16" s="8"/>
      <c r="V16" s="1"/>
      <c r="W16" s="5"/>
      <c r="X16" s="6"/>
      <c r="Y16" s="6"/>
      <c r="Z16" s="6"/>
      <c r="AA16" s="6"/>
      <c r="AB16" s="12"/>
      <c r="AC16" s="5"/>
      <c r="AD16" s="7"/>
      <c r="AE16" s="5"/>
      <c r="AF16" s="5"/>
    </row>
    <row r="17" spans="1:32">
      <c r="A17" s="4">
        <f t="shared" si="0"/>
        <v>16</v>
      </c>
      <c r="B17" s="24">
        <v>1.7</v>
      </c>
      <c r="C17" s="24">
        <v>0.77500000000000002</v>
      </c>
      <c r="D17" s="24">
        <v>16.53</v>
      </c>
      <c r="E17" s="24">
        <v>7.5</v>
      </c>
      <c r="F17" s="63">
        <v>0.15634174573055029</v>
      </c>
      <c r="G17" s="44">
        <v>4.2</v>
      </c>
      <c r="H17" s="44">
        <v>6.5000000000000002E-2</v>
      </c>
      <c r="I17" s="45">
        <v>780</v>
      </c>
      <c r="J17" s="45">
        <v>130</v>
      </c>
      <c r="K17" s="46">
        <v>3.2</v>
      </c>
      <c r="L17" s="44">
        <v>21</v>
      </c>
      <c r="M17" s="44">
        <v>61</v>
      </c>
      <c r="N17" s="22"/>
      <c r="O17" s="1"/>
      <c r="P17" s="36"/>
      <c r="R17" s="66"/>
      <c r="S17" s="66"/>
      <c r="T17" s="8"/>
      <c r="V17" s="1"/>
      <c r="W17" s="5"/>
      <c r="X17" s="6"/>
      <c r="Y17" s="6"/>
      <c r="Z17" s="6"/>
      <c r="AA17" s="6"/>
      <c r="AB17" s="12"/>
      <c r="AC17" s="5"/>
      <c r="AD17" s="7"/>
      <c r="AE17" s="5"/>
      <c r="AF17" s="5"/>
    </row>
    <row r="18" spans="1:32">
      <c r="A18" s="4">
        <f t="shared" si="0"/>
        <v>17</v>
      </c>
      <c r="B18" s="24">
        <v>1.08</v>
      </c>
      <c r="C18" s="24">
        <v>0.77500000000000002</v>
      </c>
      <c r="D18" s="24">
        <v>17.82</v>
      </c>
      <c r="E18" s="24">
        <v>9.74</v>
      </c>
      <c r="F18" s="63">
        <v>0.16677126642771803</v>
      </c>
      <c r="G18" s="44">
        <v>4.2</v>
      </c>
      <c r="H18" s="44">
        <v>6.5000000000000002E-2</v>
      </c>
      <c r="I18" s="45">
        <v>780</v>
      </c>
      <c r="J18" s="45">
        <v>130</v>
      </c>
      <c r="K18" s="46">
        <v>3.2</v>
      </c>
      <c r="L18" s="44">
        <v>21</v>
      </c>
      <c r="M18" s="44">
        <v>61</v>
      </c>
      <c r="N18" s="22"/>
      <c r="O18" s="1"/>
      <c r="P18" s="36"/>
      <c r="R18" s="66"/>
      <c r="S18" s="66"/>
      <c r="T18" s="8"/>
      <c r="V18" s="1"/>
      <c r="W18" s="5"/>
      <c r="X18" s="6"/>
      <c r="Y18" s="6"/>
      <c r="Z18" s="6"/>
      <c r="AA18" s="6"/>
      <c r="AB18" s="12"/>
      <c r="AC18" s="5"/>
      <c r="AD18" s="7"/>
      <c r="AE18" s="5"/>
      <c r="AF18" s="5"/>
    </row>
    <row r="19" spans="1:32">
      <c r="A19" s="4">
        <f t="shared" si="0"/>
        <v>18</v>
      </c>
      <c r="B19" s="24">
        <v>0.79</v>
      </c>
      <c r="C19" s="24">
        <v>0.24500000000000002</v>
      </c>
      <c r="D19" s="24">
        <v>14.26</v>
      </c>
      <c r="E19" s="24">
        <v>1.87</v>
      </c>
      <c r="F19" s="63">
        <v>0.42815504004133287</v>
      </c>
      <c r="G19" s="44">
        <v>4.2</v>
      </c>
      <c r="H19" s="44">
        <v>6.5000000000000002E-2</v>
      </c>
      <c r="I19" s="45">
        <v>780</v>
      </c>
      <c r="J19" s="45">
        <v>130</v>
      </c>
      <c r="K19" s="46">
        <v>3.2</v>
      </c>
      <c r="L19" s="44">
        <v>21</v>
      </c>
      <c r="M19" s="44">
        <v>61</v>
      </c>
      <c r="N19" s="22"/>
      <c r="O19" s="1"/>
      <c r="P19" s="36"/>
      <c r="R19" s="66"/>
      <c r="S19" s="66"/>
      <c r="T19" s="8"/>
      <c r="V19" s="1"/>
      <c r="W19" s="5"/>
      <c r="X19" s="6"/>
      <c r="Y19" s="6"/>
      <c r="Z19" s="6"/>
      <c r="AA19" s="6"/>
      <c r="AB19" s="12"/>
      <c r="AC19" s="5"/>
      <c r="AD19" s="7"/>
      <c r="AE19" s="5"/>
      <c r="AF19" s="5"/>
    </row>
    <row r="20" spans="1:32">
      <c r="A20" s="4">
        <f t="shared" si="0"/>
        <v>19</v>
      </c>
      <c r="B20" s="24">
        <v>2.95</v>
      </c>
      <c r="C20" s="24">
        <v>0.24500000000000002</v>
      </c>
      <c r="D20" s="24">
        <v>16.04</v>
      </c>
      <c r="E20" s="24">
        <v>5.13</v>
      </c>
      <c r="F20" s="63">
        <v>0.21298073469387752</v>
      </c>
      <c r="G20" s="44">
        <v>4.2</v>
      </c>
      <c r="H20" s="44">
        <v>6.5000000000000002E-2</v>
      </c>
      <c r="I20" s="45">
        <v>780</v>
      </c>
      <c r="J20" s="45">
        <v>130</v>
      </c>
      <c r="K20" s="46">
        <v>3.2</v>
      </c>
      <c r="L20" s="44">
        <v>21</v>
      </c>
      <c r="M20" s="44">
        <v>61</v>
      </c>
      <c r="N20" s="22"/>
      <c r="O20" s="1"/>
      <c r="P20" s="36"/>
      <c r="R20" s="66"/>
      <c r="S20" s="66"/>
      <c r="T20" s="8"/>
      <c r="V20" s="1"/>
      <c r="W20" s="5"/>
      <c r="X20" s="6"/>
      <c r="Y20" s="6"/>
      <c r="Z20" s="6"/>
      <c r="AA20" s="6"/>
      <c r="AB20" s="12"/>
      <c r="AC20" s="5"/>
      <c r="AD20" s="7"/>
      <c r="AE20" s="5"/>
      <c r="AF20" s="5"/>
    </row>
    <row r="21" spans="1:32">
      <c r="A21" s="4">
        <f t="shared" si="0"/>
        <v>20</v>
      </c>
      <c r="B21" s="24">
        <v>1</v>
      </c>
      <c r="C21" s="24">
        <v>0.41</v>
      </c>
      <c r="D21" s="24">
        <v>6.73</v>
      </c>
      <c r="E21" s="24">
        <v>22.89</v>
      </c>
      <c r="F21" s="63">
        <v>9.9900000000000003E-2</v>
      </c>
      <c r="G21" s="44">
        <v>4.2</v>
      </c>
      <c r="H21" s="44">
        <v>6.5000000000000002E-2</v>
      </c>
      <c r="I21" s="45">
        <v>780</v>
      </c>
      <c r="J21" s="45">
        <v>130</v>
      </c>
      <c r="K21" s="46">
        <v>3.2</v>
      </c>
      <c r="L21" s="44">
        <v>21</v>
      </c>
      <c r="M21" s="44">
        <v>62</v>
      </c>
      <c r="N21" s="22"/>
      <c r="O21" s="1"/>
      <c r="P21" s="36"/>
      <c r="R21" s="66"/>
      <c r="S21" s="66"/>
      <c r="T21" s="8"/>
      <c r="V21" s="1"/>
      <c r="W21" s="5"/>
      <c r="X21" s="6"/>
      <c r="Y21" s="6"/>
      <c r="Z21" s="6"/>
      <c r="AA21" s="6"/>
      <c r="AB21" s="12"/>
      <c r="AC21" s="5"/>
      <c r="AD21" s="7"/>
      <c r="AE21" s="5"/>
      <c r="AF21" s="5"/>
    </row>
    <row r="22" spans="1:32">
      <c r="A22" s="4">
        <f t="shared" si="0"/>
        <v>21</v>
      </c>
      <c r="B22" s="24">
        <v>1.3</v>
      </c>
      <c r="C22" s="24">
        <v>0.41</v>
      </c>
      <c r="D22" s="24">
        <v>5.38</v>
      </c>
      <c r="E22" s="24">
        <v>20.38</v>
      </c>
      <c r="F22" s="63">
        <v>0.1091</v>
      </c>
      <c r="G22" s="44">
        <v>4.2</v>
      </c>
      <c r="H22" s="44">
        <v>6.5000000000000002E-2</v>
      </c>
      <c r="I22" s="45">
        <v>780</v>
      </c>
      <c r="J22" s="45">
        <v>130</v>
      </c>
      <c r="K22" s="46">
        <v>3.2</v>
      </c>
      <c r="L22" s="44">
        <v>21</v>
      </c>
      <c r="M22" s="44">
        <v>62</v>
      </c>
      <c r="N22" s="22"/>
      <c r="O22" s="1"/>
      <c r="P22" s="36"/>
      <c r="R22" s="66"/>
      <c r="S22" s="66"/>
      <c r="T22" s="8"/>
      <c r="V22" s="1"/>
      <c r="W22" s="5"/>
      <c r="X22" s="6"/>
      <c r="Y22" s="6"/>
      <c r="Z22" s="6"/>
      <c r="AA22" s="6"/>
      <c r="AB22" s="12"/>
      <c r="AC22" s="5"/>
      <c r="AD22" s="7"/>
      <c r="AE22" s="5"/>
      <c r="AF22" s="5"/>
    </row>
    <row r="23" spans="1:32">
      <c r="A23" s="4">
        <f t="shared" si="0"/>
        <v>22</v>
      </c>
      <c r="B23" s="24">
        <v>1.6</v>
      </c>
      <c r="C23" s="24">
        <v>0.41</v>
      </c>
      <c r="D23" s="24">
        <v>3.88</v>
      </c>
      <c r="E23" s="24">
        <v>17.61</v>
      </c>
      <c r="F23" s="63">
        <v>0.1164</v>
      </c>
      <c r="G23" s="44">
        <v>4.2</v>
      </c>
      <c r="H23" s="44">
        <v>6.5000000000000002E-2</v>
      </c>
      <c r="I23" s="45">
        <v>780</v>
      </c>
      <c r="J23" s="45">
        <v>130</v>
      </c>
      <c r="K23" s="46">
        <v>3.2</v>
      </c>
      <c r="L23" s="44">
        <v>21</v>
      </c>
      <c r="M23" s="44">
        <v>62</v>
      </c>
      <c r="N23" s="22"/>
      <c r="O23" s="1"/>
      <c r="P23" s="36"/>
      <c r="R23" s="66"/>
      <c r="S23" s="66"/>
      <c r="T23" s="8"/>
      <c r="V23" s="1"/>
      <c r="W23" s="5"/>
      <c r="X23" s="6"/>
      <c r="Y23" s="6"/>
      <c r="Z23" s="6"/>
      <c r="AA23" s="6"/>
      <c r="AB23" s="12"/>
      <c r="AC23" s="5"/>
      <c r="AD23" s="7"/>
      <c r="AE23" s="5"/>
      <c r="AF23" s="5"/>
    </row>
    <row r="24" spans="1:32">
      <c r="A24" s="4">
        <f t="shared" si="0"/>
        <v>23</v>
      </c>
      <c r="B24" s="24">
        <v>0.7</v>
      </c>
      <c r="C24" s="24">
        <v>0.41</v>
      </c>
      <c r="D24" s="24">
        <v>2.83</v>
      </c>
      <c r="E24" s="24">
        <v>15.72</v>
      </c>
      <c r="F24" s="63">
        <v>0.13039999999999999</v>
      </c>
      <c r="G24" s="44">
        <v>4.2</v>
      </c>
      <c r="H24" s="44">
        <v>6.5000000000000002E-2</v>
      </c>
      <c r="I24" s="45">
        <v>780</v>
      </c>
      <c r="J24" s="45">
        <v>130</v>
      </c>
      <c r="K24" s="46">
        <v>3.2</v>
      </c>
      <c r="L24" s="44">
        <v>21</v>
      </c>
      <c r="M24" s="44">
        <v>62</v>
      </c>
      <c r="N24" s="22"/>
      <c r="O24" s="1"/>
      <c r="P24" s="36"/>
      <c r="R24" s="66"/>
      <c r="S24" s="66"/>
      <c r="T24" s="8"/>
      <c r="V24" s="1"/>
      <c r="W24" s="5"/>
      <c r="X24" s="6"/>
      <c r="Y24" s="6"/>
      <c r="Z24" s="6"/>
      <c r="AA24" s="6"/>
      <c r="AB24" s="12"/>
      <c r="AC24" s="5"/>
      <c r="AD24" s="7"/>
      <c r="AE24" s="5"/>
      <c r="AF24" s="5"/>
    </row>
    <row r="25" spans="1:32">
      <c r="A25" s="4">
        <f t="shared" si="0"/>
        <v>24</v>
      </c>
      <c r="B25" s="24">
        <v>1.8</v>
      </c>
      <c r="C25" s="24">
        <v>0.41</v>
      </c>
      <c r="D25" s="24">
        <v>0.75</v>
      </c>
      <c r="E25" s="24">
        <v>11.89</v>
      </c>
      <c r="F25" s="63">
        <v>9.6600000000000005E-2</v>
      </c>
      <c r="G25" s="44">
        <v>4.2</v>
      </c>
      <c r="H25" s="44">
        <v>6.5000000000000002E-2</v>
      </c>
      <c r="I25" s="45">
        <v>780</v>
      </c>
      <c r="J25" s="45">
        <v>130</v>
      </c>
      <c r="K25" s="46">
        <v>3.2</v>
      </c>
      <c r="L25" s="44">
        <v>21</v>
      </c>
      <c r="M25" s="44">
        <v>62</v>
      </c>
      <c r="N25" s="22"/>
      <c r="O25" s="1"/>
      <c r="P25" s="36"/>
      <c r="R25" s="66"/>
      <c r="S25" s="66"/>
      <c r="T25" s="8"/>
      <c r="V25" s="1"/>
      <c r="W25" s="5"/>
      <c r="X25" s="6"/>
      <c r="Y25" s="6"/>
      <c r="Z25" s="6"/>
      <c r="AA25" s="6"/>
      <c r="AB25" s="12"/>
      <c r="AC25" s="5"/>
      <c r="AD25" s="7"/>
      <c r="AE25" s="5"/>
      <c r="AF25" s="5"/>
    </row>
    <row r="26" spans="1:32">
      <c r="A26" s="4">
        <f t="shared" si="0"/>
        <v>25</v>
      </c>
      <c r="B26" s="24">
        <v>1.3</v>
      </c>
      <c r="C26" s="24">
        <v>0.35499999999999998</v>
      </c>
      <c r="D26" s="24">
        <v>21.4</v>
      </c>
      <c r="E26" s="24">
        <v>15.03</v>
      </c>
      <c r="F26" s="63">
        <v>0.10258791982665225</v>
      </c>
      <c r="G26" s="44">
        <v>4.2</v>
      </c>
      <c r="H26" s="44">
        <v>6.5000000000000002E-2</v>
      </c>
      <c r="I26" s="45">
        <v>780</v>
      </c>
      <c r="J26" s="45">
        <v>130</v>
      </c>
      <c r="K26" s="46">
        <v>3.2</v>
      </c>
      <c r="L26" s="44">
        <v>21</v>
      </c>
      <c r="M26" s="44">
        <v>151</v>
      </c>
      <c r="N26" s="22"/>
      <c r="O26" s="1"/>
      <c r="P26" s="36"/>
      <c r="R26" s="66"/>
      <c r="S26" s="66"/>
      <c r="T26" s="8"/>
      <c r="W26" s="5"/>
      <c r="X26" s="6"/>
      <c r="Y26" s="6"/>
      <c r="Z26" s="6"/>
      <c r="AA26" s="6"/>
      <c r="AB26" s="12"/>
      <c r="AC26" s="5"/>
      <c r="AD26" s="7"/>
      <c r="AE26" s="5"/>
      <c r="AF26" s="5"/>
    </row>
    <row r="27" spans="1:32">
      <c r="A27" s="4">
        <f t="shared" si="0"/>
        <v>26</v>
      </c>
      <c r="B27" s="24">
        <v>2.6</v>
      </c>
      <c r="C27" s="24">
        <v>0.35499999999999998</v>
      </c>
      <c r="D27" s="24">
        <v>18.649999999999999</v>
      </c>
      <c r="E27" s="24">
        <v>16.57</v>
      </c>
      <c r="F27" s="63">
        <v>9.810522751895992E-2</v>
      </c>
      <c r="G27" s="44">
        <v>4.2</v>
      </c>
      <c r="H27" s="44">
        <v>6.5000000000000002E-2</v>
      </c>
      <c r="I27" s="45">
        <v>780</v>
      </c>
      <c r="J27" s="45">
        <v>130</v>
      </c>
      <c r="K27" s="46">
        <v>3.2</v>
      </c>
      <c r="L27" s="44">
        <v>21</v>
      </c>
      <c r="M27" s="44">
        <v>151</v>
      </c>
      <c r="N27" s="22"/>
      <c r="O27" s="1"/>
      <c r="P27" s="36"/>
      <c r="R27" s="66"/>
      <c r="S27" s="66"/>
      <c r="T27" s="8"/>
      <c r="W27" s="5"/>
      <c r="X27" s="6"/>
      <c r="Y27" s="6"/>
      <c r="Z27" s="6"/>
      <c r="AA27" s="6"/>
      <c r="AB27" s="12"/>
      <c r="AC27" s="5"/>
      <c r="AD27" s="7"/>
      <c r="AE27" s="5"/>
      <c r="AF27" s="5"/>
    </row>
    <row r="28" spans="1:32">
      <c r="A28" s="4">
        <f t="shared" si="0"/>
        <v>27</v>
      </c>
      <c r="B28" s="24">
        <v>2.4</v>
      </c>
      <c r="C28" s="24">
        <v>0.35499999999999998</v>
      </c>
      <c r="D28" s="24">
        <v>14.64</v>
      </c>
      <c r="E28" s="24">
        <v>18.829999999999998</v>
      </c>
      <c r="F28" s="63">
        <v>9.3622535211267607E-2</v>
      </c>
      <c r="G28" s="44">
        <v>4.2</v>
      </c>
      <c r="H28" s="44">
        <v>6.5000000000000002E-2</v>
      </c>
      <c r="I28" s="45">
        <v>780</v>
      </c>
      <c r="J28" s="45">
        <v>130</v>
      </c>
      <c r="K28" s="46">
        <v>3.2</v>
      </c>
      <c r="L28" s="44">
        <v>21</v>
      </c>
      <c r="M28" s="44">
        <v>151</v>
      </c>
      <c r="N28" s="22"/>
      <c r="O28" s="1"/>
      <c r="P28" s="36"/>
      <c r="R28" s="66"/>
      <c r="S28" s="66"/>
      <c r="T28" s="8"/>
      <c r="W28" s="5"/>
      <c r="X28" s="6"/>
      <c r="Y28" s="6"/>
      <c r="Z28" s="6"/>
      <c r="AA28" s="6"/>
      <c r="AB28" s="12"/>
      <c r="AC28" s="5"/>
      <c r="AD28" s="7"/>
      <c r="AE28" s="5"/>
      <c r="AF28" s="5"/>
    </row>
    <row r="29" spans="1:32">
      <c r="A29" s="4">
        <f t="shared" si="0"/>
        <v>28</v>
      </c>
      <c r="B29" s="24">
        <v>2.5499999999999998</v>
      </c>
      <c r="C29" s="24">
        <v>0.35499999999999998</v>
      </c>
      <c r="D29" s="24">
        <v>10.64</v>
      </c>
      <c r="E29" s="24">
        <v>21.07</v>
      </c>
      <c r="F29" s="63">
        <v>0.11045945871306269</v>
      </c>
      <c r="G29" s="44">
        <v>4.2</v>
      </c>
      <c r="H29" s="44">
        <v>6.5000000000000002E-2</v>
      </c>
      <c r="I29" s="45">
        <v>780</v>
      </c>
      <c r="J29" s="45">
        <v>130</v>
      </c>
      <c r="K29" s="46">
        <v>3.2</v>
      </c>
      <c r="L29" s="44">
        <v>21</v>
      </c>
      <c r="M29" s="44">
        <v>151</v>
      </c>
      <c r="N29" s="22"/>
      <c r="O29" s="1"/>
      <c r="P29" s="36"/>
      <c r="R29" s="66"/>
      <c r="S29" s="66"/>
      <c r="T29" s="8"/>
      <c r="W29" s="5"/>
      <c r="X29" s="6"/>
      <c r="Y29" s="6"/>
      <c r="Z29" s="6"/>
      <c r="AA29" s="6"/>
      <c r="AB29" s="12"/>
      <c r="AC29" s="5"/>
      <c r="AD29" s="7"/>
      <c r="AE29" s="5"/>
      <c r="AF29" s="5"/>
    </row>
    <row r="30" spans="1:32">
      <c r="A30" s="4">
        <f t="shared" si="0"/>
        <v>29</v>
      </c>
      <c r="B30" s="24">
        <v>1.78</v>
      </c>
      <c r="C30" s="24">
        <v>0.35499999999999998</v>
      </c>
      <c r="D30" s="24">
        <v>7.71</v>
      </c>
      <c r="E30" s="24">
        <v>22.72</v>
      </c>
      <c r="F30" s="63">
        <v>0.11471309542649154</v>
      </c>
      <c r="G30" s="44">
        <v>4.2</v>
      </c>
      <c r="H30" s="44">
        <v>6.5000000000000002E-2</v>
      </c>
      <c r="I30" s="45">
        <v>780</v>
      </c>
      <c r="J30" s="45">
        <v>130</v>
      </c>
      <c r="K30" s="46">
        <v>3.2</v>
      </c>
      <c r="L30" s="44">
        <v>21</v>
      </c>
      <c r="M30" s="44">
        <v>151</v>
      </c>
      <c r="N30" s="22"/>
      <c r="O30" s="1"/>
      <c r="P30" s="36"/>
      <c r="R30" s="66"/>
      <c r="S30" s="66"/>
      <c r="T30" s="8"/>
      <c r="W30" s="5"/>
      <c r="X30" s="6"/>
      <c r="Y30" s="6"/>
      <c r="Z30" s="6"/>
      <c r="AA30" s="6"/>
      <c r="AB30" s="12"/>
      <c r="AC30" s="5"/>
      <c r="AD30" s="7"/>
      <c r="AE30" s="5"/>
      <c r="AF30" s="5"/>
    </row>
    <row r="31" spans="1:32">
      <c r="A31" s="4">
        <f t="shared" si="0"/>
        <v>30</v>
      </c>
      <c r="B31" s="24">
        <v>2.65</v>
      </c>
      <c r="C31" s="24">
        <v>0.16500000000000001</v>
      </c>
      <c r="D31" s="24">
        <v>5.05</v>
      </c>
      <c r="E31" s="24">
        <v>16.41</v>
      </c>
      <c r="F31" s="63">
        <v>8.7266666666666687E-2</v>
      </c>
      <c r="G31" s="44">
        <v>4.2</v>
      </c>
      <c r="H31" s="44">
        <v>6.3E-2</v>
      </c>
      <c r="I31" s="45">
        <v>756</v>
      </c>
      <c r="J31" s="45">
        <v>126</v>
      </c>
      <c r="K31" s="46">
        <v>2.41</v>
      </c>
      <c r="L31" s="44">
        <v>18</v>
      </c>
      <c r="M31" s="44">
        <v>152</v>
      </c>
      <c r="N31" s="22"/>
      <c r="O31" s="1"/>
      <c r="P31" s="36"/>
      <c r="R31" s="66"/>
      <c r="S31" s="66"/>
      <c r="T31" s="8"/>
      <c r="W31" s="5"/>
      <c r="X31" s="6"/>
      <c r="Y31" s="6"/>
      <c r="Z31" s="6"/>
      <c r="AA31" s="6"/>
      <c r="AB31" s="12"/>
      <c r="AC31" s="5"/>
      <c r="AD31" s="7"/>
      <c r="AE31" s="5"/>
      <c r="AF31" s="5"/>
    </row>
    <row r="32" spans="1:32">
      <c r="A32" s="4">
        <f t="shared" si="0"/>
        <v>31</v>
      </c>
      <c r="B32" s="24">
        <v>1.7</v>
      </c>
      <c r="C32" s="24">
        <v>0.47499999999999998</v>
      </c>
      <c r="D32" s="24">
        <v>0.91</v>
      </c>
      <c r="E32" s="24">
        <v>10.74</v>
      </c>
      <c r="F32" s="63">
        <v>0.11283735603715168</v>
      </c>
      <c r="G32" s="44">
        <v>4.2</v>
      </c>
      <c r="H32" s="44">
        <v>6.5000000000000002E-2</v>
      </c>
      <c r="I32" s="45">
        <v>780</v>
      </c>
      <c r="J32" s="45">
        <v>130</v>
      </c>
      <c r="K32" s="46">
        <v>3.2</v>
      </c>
      <c r="L32" s="44">
        <v>21</v>
      </c>
      <c r="M32" s="44">
        <v>129</v>
      </c>
      <c r="N32" s="22"/>
      <c r="O32" s="1"/>
      <c r="P32" s="36"/>
      <c r="R32" s="66"/>
      <c r="S32" s="66"/>
      <c r="T32" s="8"/>
      <c r="W32" s="5"/>
      <c r="X32" s="6"/>
      <c r="Y32" s="6"/>
      <c r="Z32" s="6"/>
      <c r="AA32" s="6"/>
      <c r="AB32" s="12"/>
      <c r="AC32" s="5"/>
      <c r="AD32" s="7"/>
      <c r="AE32" s="5"/>
      <c r="AF32" s="5"/>
    </row>
    <row r="33" spans="1:32">
      <c r="A33" s="4">
        <f t="shared" si="0"/>
        <v>32</v>
      </c>
      <c r="B33" s="24">
        <v>2</v>
      </c>
      <c r="C33" s="24">
        <v>0.47499999999999998</v>
      </c>
      <c r="D33" s="24">
        <v>2.69</v>
      </c>
      <c r="E33" s="24">
        <v>8.51</v>
      </c>
      <c r="F33" s="63">
        <v>0.10742806421052631</v>
      </c>
      <c r="G33" s="44">
        <v>4.2</v>
      </c>
      <c r="H33" s="44">
        <v>6.5000000000000002E-2</v>
      </c>
      <c r="I33" s="45">
        <v>780</v>
      </c>
      <c r="J33" s="45">
        <v>130</v>
      </c>
      <c r="K33" s="46">
        <v>3.2</v>
      </c>
      <c r="L33" s="44">
        <v>21</v>
      </c>
      <c r="M33" s="44">
        <v>129</v>
      </c>
      <c r="N33" s="22"/>
      <c r="O33" s="1"/>
      <c r="P33" s="36"/>
      <c r="R33" s="66"/>
      <c r="S33" s="66"/>
      <c r="T33" s="8"/>
      <c r="V33" s="2"/>
      <c r="W33" s="5"/>
      <c r="X33" s="6"/>
      <c r="Y33" s="6"/>
      <c r="Z33" s="6"/>
      <c r="AA33" s="6"/>
      <c r="AB33" s="12"/>
      <c r="AC33" s="5"/>
      <c r="AD33" s="7"/>
      <c r="AE33" s="5"/>
      <c r="AF33" s="5"/>
    </row>
    <row r="34" spans="1:32" s="34" customFormat="1" ht="15" thickBot="1">
      <c r="A34" s="39">
        <f t="shared" si="0"/>
        <v>33</v>
      </c>
      <c r="B34" s="40">
        <v>2.5499999999999998</v>
      </c>
      <c r="C34" s="40">
        <v>0.44499999999999995</v>
      </c>
      <c r="D34" s="40">
        <v>20.61</v>
      </c>
      <c r="E34" s="40">
        <v>12.18</v>
      </c>
      <c r="F34" s="64">
        <v>0.15755450099140783</v>
      </c>
      <c r="G34" s="48">
        <v>4.2</v>
      </c>
      <c r="H34" s="44">
        <v>6.5000000000000002E-2</v>
      </c>
      <c r="I34" s="49">
        <v>780</v>
      </c>
      <c r="J34" s="49">
        <v>130</v>
      </c>
      <c r="K34" s="46">
        <v>3.2</v>
      </c>
      <c r="L34" s="44">
        <v>21</v>
      </c>
      <c r="M34" s="48">
        <v>61</v>
      </c>
      <c r="N34" s="22"/>
      <c r="O34" s="1"/>
      <c r="P34" s="36"/>
      <c r="Q34"/>
      <c r="R34" s="66"/>
      <c r="S34" s="66"/>
      <c r="T34" s="8"/>
      <c r="U34"/>
      <c r="V34" s="29"/>
      <c r="W34" s="30"/>
      <c r="X34" s="31"/>
      <c r="Y34" s="31"/>
      <c r="Z34" s="31"/>
      <c r="AA34" s="31"/>
      <c r="AB34" s="32"/>
      <c r="AC34" s="30"/>
      <c r="AD34" s="33"/>
      <c r="AE34" s="30"/>
      <c r="AF34" s="30"/>
    </row>
    <row r="35" spans="1:32">
      <c r="A35" s="37">
        <f t="shared" si="0"/>
        <v>34</v>
      </c>
      <c r="B35" s="38">
        <v>3.6</v>
      </c>
      <c r="C35" s="38">
        <v>0.46499999999999997</v>
      </c>
      <c r="D35" s="38">
        <v>20.51</v>
      </c>
      <c r="E35" s="38">
        <v>9.9499999999999993</v>
      </c>
      <c r="F35" s="65">
        <v>0.15950824372759859</v>
      </c>
      <c r="G35" s="51">
        <v>4.2</v>
      </c>
      <c r="H35" s="44">
        <v>6.5000000000000002E-2</v>
      </c>
      <c r="I35" s="52">
        <v>780</v>
      </c>
      <c r="J35" s="52">
        <v>130</v>
      </c>
      <c r="K35" s="46">
        <v>3.2</v>
      </c>
      <c r="L35" s="44">
        <v>21</v>
      </c>
      <c r="M35" s="51">
        <v>0</v>
      </c>
      <c r="N35" s="22"/>
      <c r="O35" s="1"/>
      <c r="P35" s="36"/>
      <c r="R35" s="66"/>
      <c r="S35" s="66"/>
      <c r="T35" s="8"/>
      <c r="V35" s="2"/>
      <c r="W35" s="5"/>
      <c r="X35" s="6"/>
      <c r="Y35" s="6"/>
      <c r="Z35" s="6"/>
      <c r="AA35" s="6"/>
      <c r="AB35" s="12"/>
      <c r="AC35" s="5"/>
      <c r="AD35" s="7"/>
      <c r="AE35" s="5"/>
      <c r="AF35" s="5"/>
    </row>
    <row r="36" spans="1:32">
      <c r="A36" s="4">
        <f t="shared" si="0"/>
        <v>35</v>
      </c>
      <c r="B36" s="24">
        <v>0.68</v>
      </c>
      <c r="C36" s="24">
        <v>0.46499999999999997</v>
      </c>
      <c r="D36" s="24">
        <v>16.71</v>
      </c>
      <c r="E36" s="24">
        <v>4.74</v>
      </c>
      <c r="F36" s="63">
        <v>0.19299109740670464</v>
      </c>
      <c r="G36" s="44">
        <v>4.2</v>
      </c>
      <c r="H36" s="44">
        <v>6.5000000000000002E-2</v>
      </c>
      <c r="I36" s="45">
        <v>780</v>
      </c>
      <c r="J36" s="45">
        <v>130</v>
      </c>
      <c r="K36" s="46">
        <v>3.2</v>
      </c>
      <c r="L36" s="44">
        <v>21</v>
      </c>
      <c r="M36" s="51">
        <v>0</v>
      </c>
      <c r="N36" s="22"/>
      <c r="O36" s="1"/>
      <c r="P36" s="36"/>
      <c r="R36" s="66"/>
      <c r="S36" s="66"/>
      <c r="T36" s="8"/>
      <c r="V36" s="2"/>
      <c r="W36" s="5"/>
      <c r="X36" s="6"/>
      <c r="Y36" s="6"/>
      <c r="Z36" s="6"/>
      <c r="AA36" s="6"/>
      <c r="AB36" s="12"/>
      <c r="AC36" s="5"/>
      <c r="AD36" s="7"/>
      <c r="AE36" s="5"/>
      <c r="AF36" s="5"/>
    </row>
    <row r="37" spans="1:32">
      <c r="A37" s="4">
        <f t="shared" si="0"/>
        <v>36</v>
      </c>
      <c r="B37" s="24">
        <v>3.38</v>
      </c>
      <c r="C37" s="24">
        <v>0.46499999999999997</v>
      </c>
      <c r="D37" s="24">
        <v>20.09</v>
      </c>
      <c r="E37" s="24">
        <v>4.51</v>
      </c>
      <c r="F37" s="57">
        <v>0.17053988356556593</v>
      </c>
      <c r="G37" s="44">
        <v>4.2</v>
      </c>
      <c r="H37" s="44">
        <v>6.5000000000000002E-2</v>
      </c>
      <c r="I37" s="45">
        <v>780</v>
      </c>
      <c r="J37" s="45">
        <v>130</v>
      </c>
      <c r="K37" s="46">
        <v>3.2</v>
      </c>
      <c r="L37" s="44">
        <v>21</v>
      </c>
      <c r="M37" s="51">
        <v>0</v>
      </c>
      <c r="N37" s="22"/>
      <c r="O37" s="1"/>
      <c r="P37" s="36"/>
      <c r="R37" s="66"/>
      <c r="S37" s="66"/>
      <c r="T37" s="8"/>
      <c r="V37" s="2"/>
      <c r="W37" s="5"/>
      <c r="X37" s="6"/>
      <c r="Y37" s="6"/>
      <c r="Z37" s="6"/>
      <c r="AA37" s="6"/>
      <c r="AB37" s="12"/>
      <c r="AC37" s="5"/>
      <c r="AD37" s="7"/>
      <c r="AE37" s="5"/>
      <c r="AF37" s="5"/>
    </row>
    <row r="38" spans="1:32">
      <c r="A38" s="4">
        <f t="shared" si="0"/>
        <v>37</v>
      </c>
      <c r="B38" s="24">
        <v>1.22</v>
      </c>
      <c r="C38" s="24">
        <v>0.57999999999999996</v>
      </c>
      <c r="D38" s="24">
        <v>23.23</v>
      </c>
      <c r="E38" s="24">
        <v>0.93</v>
      </c>
      <c r="F38" s="63">
        <v>0.21340000000000001</v>
      </c>
      <c r="G38" s="44">
        <v>4.2</v>
      </c>
      <c r="H38" s="44">
        <v>6.5000000000000002E-2</v>
      </c>
      <c r="I38" s="45">
        <v>780</v>
      </c>
      <c r="J38" s="45">
        <v>130</v>
      </c>
      <c r="K38" s="46">
        <v>3.2</v>
      </c>
      <c r="L38" s="44">
        <v>21</v>
      </c>
      <c r="M38" s="44">
        <v>85</v>
      </c>
      <c r="N38" s="22"/>
      <c r="O38" s="1"/>
      <c r="P38" s="36"/>
      <c r="R38" s="66"/>
      <c r="S38" s="66"/>
      <c r="T38" s="8"/>
      <c r="V38" s="2"/>
      <c r="W38" s="5"/>
      <c r="X38" s="6"/>
      <c r="Y38" s="6"/>
      <c r="Z38" s="6"/>
      <c r="AA38" s="6"/>
      <c r="AB38" s="12"/>
      <c r="AC38" s="5"/>
      <c r="AD38" s="7"/>
      <c r="AE38" s="5"/>
      <c r="AF38" s="5"/>
    </row>
    <row r="39" spans="1:32">
      <c r="A39" s="4">
        <f t="shared" si="0"/>
        <v>38</v>
      </c>
      <c r="B39" s="24">
        <v>1.68</v>
      </c>
      <c r="C39" s="24">
        <v>0.57999999999999996</v>
      </c>
      <c r="D39" s="24">
        <v>23.46</v>
      </c>
      <c r="E39" s="24">
        <v>3.67</v>
      </c>
      <c r="F39" s="63">
        <v>0.27449999999999997</v>
      </c>
      <c r="G39" s="44">
        <v>4.2</v>
      </c>
      <c r="H39" s="44">
        <v>6.5000000000000002E-2</v>
      </c>
      <c r="I39" s="45">
        <v>780</v>
      </c>
      <c r="J39" s="45">
        <v>130</v>
      </c>
      <c r="K39" s="46">
        <v>3.2</v>
      </c>
      <c r="L39" s="44">
        <v>21</v>
      </c>
      <c r="M39" s="44">
        <v>85</v>
      </c>
      <c r="N39" s="22"/>
      <c r="O39" s="1"/>
      <c r="P39" s="36"/>
      <c r="R39" s="66"/>
      <c r="S39" s="66"/>
      <c r="T39" s="8"/>
      <c r="V39" s="2"/>
      <c r="W39" s="5"/>
      <c r="X39" s="6"/>
      <c r="Y39" s="6"/>
      <c r="Z39" s="6"/>
      <c r="AA39" s="6"/>
      <c r="AB39" s="12"/>
      <c r="AC39" s="5"/>
      <c r="AD39" s="7"/>
      <c r="AE39" s="5"/>
      <c r="AF39" s="5"/>
    </row>
    <row r="40" spans="1:32">
      <c r="A40" s="4">
        <f t="shared" si="0"/>
        <v>39</v>
      </c>
      <c r="B40" s="24">
        <v>1.9</v>
      </c>
      <c r="C40" s="24">
        <v>0.57999999999999996</v>
      </c>
      <c r="D40" s="24">
        <v>24.02</v>
      </c>
      <c r="E40" s="24">
        <v>10.41</v>
      </c>
      <c r="F40" s="63">
        <v>0.25879999999999997</v>
      </c>
      <c r="G40" s="44">
        <v>4.2</v>
      </c>
      <c r="H40" s="44">
        <v>6.5000000000000002E-2</v>
      </c>
      <c r="I40" s="45">
        <v>780</v>
      </c>
      <c r="J40" s="45">
        <v>130</v>
      </c>
      <c r="K40" s="46">
        <v>3.2</v>
      </c>
      <c r="L40" s="44">
        <v>21</v>
      </c>
      <c r="M40" s="44">
        <v>85</v>
      </c>
      <c r="N40" s="22"/>
      <c r="O40" s="1"/>
      <c r="P40" s="36"/>
      <c r="R40" s="66"/>
      <c r="S40" s="66"/>
      <c r="T40" s="8"/>
      <c r="V40" s="2"/>
      <c r="W40" s="5"/>
      <c r="X40" s="6"/>
      <c r="Y40" s="6"/>
      <c r="Z40" s="6"/>
      <c r="AA40" s="6"/>
      <c r="AB40" s="12"/>
      <c r="AC40" s="5"/>
      <c r="AD40" s="7"/>
      <c r="AE40" s="5"/>
      <c r="AF40" s="5"/>
    </row>
    <row r="41" spans="1:32">
      <c r="A41" s="4">
        <f t="shared" si="0"/>
        <v>40</v>
      </c>
      <c r="B41" s="24">
        <v>0.9</v>
      </c>
      <c r="C41" s="24">
        <v>0.57999999999999996</v>
      </c>
      <c r="D41" s="24">
        <v>24.31</v>
      </c>
      <c r="E41" s="24">
        <v>13.94</v>
      </c>
      <c r="F41" s="63">
        <v>0.2394</v>
      </c>
      <c r="G41" s="44">
        <v>4.2</v>
      </c>
      <c r="H41" s="44">
        <v>6.5000000000000002E-2</v>
      </c>
      <c r="I41" s="45">
        <v>780</v>
      </c>
      <c r="J41" s="45">
        <v>130</v>
      </c>
      <c r="K41" s="46">
        <v>3.2</v>
      </c>
      <c r="L41" s="44">
        <v>21</v>
      </c>
      <c r="M41" s="44">
        <v>85</v>
      </c>
      <c r="N41" s="22"/>
      <c r="O41" s="1"/>
      <c r="P41" s="36"/>
      <c r="R41" s="66"/>
      <c r="S41" s="66"/>
      <c r="T41" s="8"/>
      <c r="V41" s="2"/>
      <c r="W41" s="5"/>
      <c r="X41" s="6"/>
      <c r="Y41" s="6"/>
      <c r="Z41" s="6"/>
      <c r="AA41" s="6"/>
      <c r="AB41" s="12"/>
      <c r="AC41" s="5"/>
      <c r="AD41" s="7"/>
      <c r="AE41" s="5"/>
      <c r="AF41" s="5"/>
    </row>
    <row r="42" spans="1:32">
      <c r="A42" s="4">
        <f t="shared" si="0"/>
        <v>41</v>
      </c>
      <c r="B42" s="24">
        <v>0.91</v>
      </c>
      <c r="C42" s="24">
        <v>0.41499999999999998</v>
      </c>
      <c r="D42" s="24">
        <v>32.42</v>
      </c>
      <c r="E42" s="24">
        <v>0.77</v>
      </c>
      <c r="F42" s="63">
        <v>0.25949776247848538</v>
      </c>
      <c r="G42" s="44">
        <v>4.2</v>
      </c>
      <c r="H42" s="44">
        <v>6.5000000000000002E-2</v>
      </c>
      <c r="I42" s="45">
        <v>780</v>
      </c>
      <c r="J42" s="45">
        <v>130</v>
      </c>
      <c r="K42" s="46">
        <v>3.2</v>
      </c>
      <c r="L42" s="44">
        <v>21</v>
      </c>
      <c r="M42" s="44">
        <v>85</v>
      </c>
      <c r="N42" s="22"/>
      <c r="O42" s="1"/>
      <c r="P42" s="36"/>
      <c r="R42" s="66"/>
      <c r="S42" s="66"/>
      <c r="T42" s="8"/>
      <c r="V42" s="2"/>
      <c r="W42" s="5"/>
      <c r="X42" s="6"/>
      <c r="Y42" s="6"/>
      <c r="Z42" s="6"/>
      <c r="AA42" s="6"/>
      <c r="AB42" s="12"/>
      <c r="AC42" s="5"/>
      <c r="AD42" s="7"/>
      <c r="AE42" s="5"/>
      <c r="AF42" s="5"/>
    </row>
    <row r="43" spans="1:32">
      <c r="A43" s="4">
        <f t="shared" si="0"/>
        <v>42</v>
      </c>
      <c r="B43" s="24">
        <v>2.2599999999999998</v>
      </c>
      <c r="C43" s="24">
        <v>0.41499999999999998</v>
      </c>
      <c r="D43" s="24">
        <v>32.69</v>
      </c>
      <c r="E43" s="24">
        <v>3.85</v>
      </c>
      <c r="F43" s="63">
        <v>0.22091909372001284</v>
      </c>
      <c r="G43" s="44">
        <v>4.2</v>
      </c>
      <c r="H43" s="44">
        <v>6.5000000000000002E-2</v>
      </c>
      <c r="I43" s="45">
        <v>780</v>
      </c>
      <c r="J43" s="45">
        <v>130</v>
      </c>
      <c r="K43" s="46">
        <v>3.2</v>
      </c>
      <c r="L43" s="44">
        <v>21</v>
      </c>
      <c r="M43" s="44">
        <v>85</v>
      </c>
      <c r="N43" s="22"/>
      <c r="O43" s="1"/>
      <c r="P43" s="36"/>
      <c r="R43" s="66"/>
      <c r="S43" s="66"/>
      <c r="T43" s="8"/>
      <c r="V43" s="2"/>
      <c r="W43" s="5"/>
      <c r="X43" s="6"/>
      <c r="Y43" s="6"/>
      <c r="Z43" s="6"/>
      <c r="AA43" s="6"/>
      <c r="AB43" s="12"/>
      <c r="AC43" s="5"/>
      <c r="AD43" s="7"/>
      <c r="AE43" s="5"/>
      <c r="AF43" s="5"/>
    </row>
    <row r="44" spans="1:32">
      <c r="A44" s="4">
        <f t="shared" si="0"/>
        <v>43</v>
      </c>
      <c r="B44" s="24">
        <v>1.1100000000000001</v>
      </c>
      <c r="C44" s="24">
        <v>0.41499999999999998</v>
      </c>
      <c r="D44" s="24">
        <v>32.89</v>
      </c>
      <c r="E44" s="24">
        <v>6.42</v>
      </c>
      <c r="F44" s="57">
        <v>0.24982395310973629</v>
      </c>
      <c r="G44" s="44">
        <v>4.2</v>
      </c>
      <c r="H44" s="44">
        <v>6.5000000000000002E-2</v>
      </c>
      <c r="I44" s="45">
        <v>780</v>
      </c>
      <c r="J44" s="45">
        <v>130</v>
      </c>
      <c r="K44" s="46">
        <v>3.2</v>
      </c>
      <c r="L44" s="44">
        <v>21</v>
      </c>
      <c r="M44" s="44">
        <v>85</v>
      </c>
      <c r="N44" s="22"/>
      <c r="O44" s="1"/>
      <c r="P44" s="36"/>
      <c r="R44" s="66"/>
      <c r="S44" s="66"/>
      <c r="T44" s="8"/>
      <c r="V44" s="2"/>
      <c r="W44" s="5"/>
      <c r="X44" s="6"/>
      <c r="Y44" s="6"/>
      <c r="Z44" s="6"/>
      <c r="AA44" s="6"/>
      <c r="AB44" s="12"/>
      <c r="AC44" s="5"/>
      <c r="AD44" s="7"/>
      <c r="AE44" s="5"/>
      <c r="AF44" s="5"/>
    </row>
    <row r="45" spans="1:32">
      <c r="A45" s="4">
        <f t="shared" si="0"/>
        <v>44</v>
      </c>
      <c r="B45" s="24">
        <v>2.76</v>
      </c>
      <c r="C45" s="24">
        <v>0.41499999999999998</v>
      </c>
      <c r="D45" s="24">
        <v>33.159999999999997</v>
      </c>
      <c r="E45" s="24">
        <v>9.59</v>
      </c>
      <c r="F45" s="57">
        <v>0.19677523834468311</v>
      </c>
      <c r="G45" s="44">
        <v>4.2</v>
      </c>
      <c r="H45" s="44">
        <v>6.5000000000000002E-2</v>
      </c>
      <c r="I45" s="45">
        <v>780</v>
      </c>
      <c r="J45" s="45">
        <v>130</v>
      </c>
      <c r="K45" s="46">
        <v>3.2</v>
      </c>
      <c r="L45" s="44">
        <v>21</v>
      </c>
      <c r="M45" s="44">
        <v>85</v>
      </c>
      <c r="N45" s="22"/>
      <c r="O45" s="1"/>
      <c r="P45" s="36"/>
      <c r="R45" s="66"/>
      <c r="S45" s="66"/>
      <c r="T45" s="8"/>
      <c r="V45" s="2"/>
      <c r="W45" s="5"/>
      <c r="X45" s="6"/>
      <c r="Y45" s="6"/>
      <c r="Z45" s="6"/>
      <c r="AA45" s="6"/>
      <c r="AB45" s="12"/>
      <c r="AC45" s="5"/>
      <c r="AD45" s="7"/>
      <c r="AE45" s="5"/>
      <c r="AF45" s="5"/>
    </row>
    <row r="46" spans="1:32">
      <c r="A46" s="4">
        <f t="shared" si="0"/>
        <v>45</v>
      </c>
      <c r="B46" s="24">
        <v>0.95</v>
      </c>
      <c r="C46" s="24">
        <v>0.41499999999999998</v>
      </c>
      <c r="D46" s="24">
        <v>33.56</v>
      </c>
      <c r="E46" s="24">
        <v>14.27</v>
      </c>
      <c r="F46" s="57">
        <v>0.26623265187064044</v>
      </c>
      <c r="G46" s="44">
        <v>4.2</v>
      </c>
      <c r="H46" s="44">
        <v>6.5000000000000002E-2</v>
      </c>
      <c r="I46" s="45">
        <v>780</v>
      </c>
      <c r="J46" s="45">
        <v>130</v>
      </c>
      <c r="K46" s="46">
        <v>3.2</v>
      </c>
      <c r="L46" s="44">
        <v>21</v>
      </c>
      <c r="M46" s="44">
        <v>85</v>
      </c>
      <c r="N46" s="22"/>
      <c r="O46" s="1"/>
      <c r="P46" s="36"/>
      <c r="R46" s="66"/>
      <c r="S46" s="66"/>
      <c r="T46" s="8"/>
    </row>
    <row r="47" spans="1:32">
      <c r="A47" s="4">
        <f t="shared" si="0"/>
        <v>46</v>
      </c>
      <c r="B47" s="24">
        <v>1.9</v>
      </c>
      <c r="C47" s="24">
        <v>0.30499999999999999</v>
      </c>
      <c r="D47" s="24">
        <v>36.9</v>
      </c>
      <c r="E47" s="24">
        <v>1.26</v>
      </c>
      <c r="F47" s="57">
        <v>0.21812153408110435</v>
      </c>
      <c r="G47" s="44">
        <v>4.2</v>
      </c>
      <c r="H47" s="44">
        <v>6.5000000000000002E-2</v>
      </c>
      <c r="I47" s="45">
        <v>780</v>
      </c>
      <c r="J47" s="45">
        <v>130</v>
      </c>
      <c r="K47" s="46">
        <v>3.2</v>
      </c>
      <c r="L47" s="44">
        <v>21</v>
      </c>
      <c r="M47" s="44">
        <v>85</v>
      </c>
      <c r="N47" s="22"/>
      <c r="O47" s="1"/>
      <c r="P47" s="36"/>
      <c r="R47" s="66"/>
      <c r="S47" s="66"/>
      <c r="T47" s="8"/>
    </row>
    <row r="48" spans="1:32">
      <c r="A48" s="4">
        <f t="shared" si="0"/>
        <v>47</v>
      </c>
      <c r="B48" s="24">
        <v>3.07</v>
      </c>
      <c r="C48" s="24">
        <v>0.30499999999999999</v>
      </c>
      <c r="D48" s="24">
        <v>37.21</v>
      </c>
      <c r="E48" s="24">
        <v>4.97</v>
      </c>
      <c r="F48" s="57">
        <v>0.21991442409355477</v>
      </c>
      <c r="G48" s="44">
        <v>4.2</v>
      </c>
      <c r="H48" s="44">
        <v>6.5000000000000002E-2</v>
      </c>
      <c r="I48" s="45">
        <v>780</v>
      </c>
      <c r="J48" s="45">
        <v>130</v>
      </c>
      <c r="K48" s="46">
        <v>3.2</v>
      </c>
      <c r="L48" s="44">
        <v>21</v>
      </c>
      <c r="M48" s="44">
        <v>85</v>
      </c>
      <c r="N48" s="22"/>
      <c r="O48" s="1"/>
      <c r="P48" s="36"/>
      <c r="R48" s="66"/>
      <c r="S48" s="66"/>
      <c r="T48" s="8"/>
    </row>
    <row r="49" spans="1:20">
      <c r="A49" s="4">
        <f t="shared" si="0"/>
        <v>48</v>
      </c>
      <c r="B49" s="24">
        <v>4.41</v>
      </c>
      <c r="C49" s="24">
        <v>0.13500000000000001</v>
      </c>
      <c r="D49" s="24">
        <v>39.270000000000003</v>
      </c>
      <c r="E49" s="24">
        <v>8.52</v>
      </c>
      <c r="F49" s="57">
        <v>0.2664891677164693</v>
      </c>
      <c r="G49" s="44">
        <v>4.2</v>
      </c>
      <c r="H49" s="44">
        <v>6.3E-2</v>
      </c>
      <c r="I49" s="45">
        <v>756</v>
      </c>
      <c r="J49" s="45">
        <v>126</v>
      </c>
      <c r="K49" s="46">
        <v>2.41</v>
      </c>
      <c r="L49" s="44">
        <v>18</v>
      </c>
      <c r="M49" s="44">
        <v>85</v>
      </c>
      <c r="N49" s="22"/>
      <c r="O49" s="1"/>
      <c r="P49" s="36"/>
      <c r="R49" s="66"/>
      <c r="S49" s="66"/>
      <c r="T49" s="8"/>
    </row>
    <row r="50" spans="1:20">
      <c r="A50" s="4">
        <f t="shared" si="0"/>
        <v>49</v>
      </c>
      <c r="B50" s="24">
        <v>1.34</v>
      </c>
      <c r="C50" s="24">
        <v>0.13500000000000001</v>
      </c>
      <c r="D50" s="24">
        <v>39.57</v>
      </c>
      <c r="E50" s="24">
        <v>12.62</v>
      </c>
      <c r="F50" s="57">
        <v>0.2400936815920397</v>
      </c>
      <c r="G50" s="44">
        <v>4.2</v>
      </c>
      <c r="H50" s="44">
        <v>6.3E-2</v>
      </c>
      <c r="I50" s="45">
        <v>756</v>
      </c>
      <c r="J50" s="45">
        <v>126</v>
      </c>
      <c r="K50" s="46">
        <v>2.41</v>
      </c>
      <c r="L50" s="44">
        <v>18</v>
      </c>
      <c r="M50" s="44">
        <v>85</v>
      </c>
      <c r="N50" s="22"/>
      <c r="O50" s="1"/>
      <c r="P50" s="36"/>
      <c r="R50" s="66"/>
      <c r="S50" s="66"/>
      <c r="T50" s="8"/>
    </row>
    <row r="51" spans="1:20">
      <c r="A51" s="4">
        <f t="shared" si="0"/>
        <v>50</v>
      </c>
      <c r="B51" s="24">
        <v>0.45499999999999996</v>
      </c>
      <c r="C51" s="24">
        <v>0.35</v>
      </c>
      <c r="D51" s="24">
        <v>42.47</v>
      </c>
      <c r="E51" s="24">
        <v>14.85</v>
      </c>
      <c r="F51" s="57">
        <v>0.23363773940345364</v>
      </c>
      <c r="G51" s="44">
        <v>4.2</v>
      </c>
      <c r="H51" s="44">
        <v>6.5000000000000002E-2</v>
      </c>
      <c r="I51" s="45">
        <v>780</v>
      </c>
      <c r="J51" s="45">
        <v>130</v>
      </c>
      <c r="K51" s="46">
        <v>3.2</v>
      </c>
      <c r="L51" s="44">
        <v>21</v>
      </c>
      <c r="M51" s="44">
        <v>127</v>
      </c>
      <c r="N51" s="22"/>
      <c r="O51" s="1"/>
      <c r="P51" s="36"/>
      <c r="R51" s="66"/>
      <c r="S51" s="66"/>
      <c r="T51" s="8"/>
    </row>
    <row r="52" spans="1:20">
      <c r="A52" s="4">
        <f t="shared" si="0"/>
        <v>51</v>
      </c>
      <c r="B52" s="24">
        <v>3.42</v>
      </c>
      <c r="C52" s="24">
        <v>0.45499999999999996</v>
      </c>
      <c r="D52" s="24">
        <v>44.26</v>
      </c>
      <c r="E52" s="24">
        <v>12.42</v>
      </c>
      <c r="F52" s="57">
        <v>0.16604234175181543</v>
      </c>
      <c r="G52" s="44">
        <v>4.2</v>
      </c>
      <c r="H52" s="44">
        <v>6.5000000000000002E-2</v>
      </c>
      <c r="I52" s="45">
        <v>780</v>
      </c>
      <c r="J52" s="45">
        <v>130</v>
      </c>
      <c r="K52" s="46">
        <v>3.2</v>
      </c>
      <c r="L52" s="44">
        <v>21</v>
      </c>
      <c r="M52" s="44">
        <v>127</v>
      </c>
      <c r="N52" s="22"/>
      <c r="O52" s="1"/>
      <c r="P52" s="36"/>
      <c r="R52" s="66"/>
      <c r="S52" s="66"/>
      <c r="T52" s="8"/>
    </row>
    <row r="53" spans="1:20">
      <c r="A53" s="4">
        <f t="shared" si="0"/>
        <v>52</v>
      </c>
      <c r="B53" s="24">
        <v>0.82</v>
      </c>
      <c r="C53" s="24">
        <v>0.45499999999999996</v>
      </c>
      <c r="D53" s="24">
        <v>46.21</v>
      </c>
      <c r="E53" s="24">
        <v>9.75</v>
      </c>
      <c r="F53" s="57">
        <v>0.19872993835432859</v>
      </c>
      <c r="G53" s="44">
        <v>4.2</v>
      </c>
      <c r="H53" s="44">
        <v>6.5000000000000002E-2</v>
      </c>
      <c r="I53" s="45">
        <v>780</v>
      </c>
      <c r="J53" s="45">
        <v>130</v>
      </c>
      <c r="K53" s="46">
        <v>3.2</v>
      </c>
      <c r="L53" s="44">
        <v>21</v>
      </c>
      <c r="M53" s="44">
        <v>127</v>
      </c>
      <c r="N53" s="22"/>
      <c r="O53" s="1"/>
      <c r="P53" s="36"/>
      <c r="R53" s="66"/>
      <c r="S53" s="66"/>
      <c r="T53" s="8"/>
    </row>
    <row r="54" spans="1:20">
      <c r="A54" s="4">
        <f t="shared" si="0"/>
        <v>53</v>
      </c>
      <c r="B54" s="24">
        <v>2.57</v>
      </c>
      <c r="C54" s="24">
        <v>0.69499999999999995</v>
      </c>
      <c r="D54" s="24">
        <v>15.47</v>
      </c>
      <c r="E54" s="24">
        <v>0</v>
      </c>
      <c r="F54" s="57">
        <v>0.15025260196512055</v>
      </c>
      <c r="G54" s="44">
        <v>4.2</v>
      </c>
      <c r="H54" s="44">
        <v>6.5000000000000002E-2</v>
      </c>
      <c r="I54" s="45">
        <v>780</v>
      </c>
      <c r="J54" s="45">
        <v>130</v>
      </c>
      <c r="K54" s="46">
        <v>3.2</v>
      </c>
      <c r="L54" s="44">
        <v>21</v>
      </c>
      <c r="M54" s="44">
        <v>0</v>
      </c>
      <c r="N54" s="22"/>
      <c r="O54" s="1"/>
      <c r="P54" s="36"/>
      <c r="R54" s="66"/>
      <c r="S54" s="66"/>
      <c r="T54" s="8"/>
    </row>
    <row r="55" spans="1:20">
      <c r="A55" s="4">
        <f t="shared" si="0"/>
        <v>54</v>
      </c>
      <c r="B55" s="24">
        <v>2.92</v>
      </c>
      <c r="C55" s="24">
        <v>0.69499999999999995</v>
      </c>
      <c r="D55" s="24">
        <v>19.489999999999998</v>
      </c>
      <c r="E55" s="24">
        <v>0</v>
      </c>
      <c r="F55" s="57">
        <v>0.15910520843599094</v>
      </c>
      <c r="G55" s="44">
        <v>4.2</v>
      </c>
      <c r="H55" s="44">
        <v>6.5000000000000002E-2</v>
      </c>
      <c r="I55" s="45">
        <v>780</v>
      </c>
      <c r="J55" s="45">
        <v>130</v>
      </c>
      <c r="K55" s="46">
        <v>3.2</v>
      </c>
      <c r="L55" s="44">
        <v>21</v>
      </c>
      <c r="M55" s="44">
        <v>0</v>
      </c>
      <c r="N55" s="22"/>
      <c r="O55" s="1"/>
      <c r="P55" s="36"/>
      <c r="R55" s="66"/>
      <c r="S55" s="66"/>
      <c r="T55" s="8"/>
    </row>
    <row r="56" spans="1:20">
      <c r="A56" s="4">
        <f t="shared" si="0"/>
        <v>55</v>
      </c>
      <c r="B56" s="24">
        <v>2.12</v>
      </c>
      <c r="C56" s="24">
        <v>0.69499999999999995</v>
      </c>
      <c r="D56" s="24">
        <v>23.34</v>
      </c>
      <c r="E56" s="24">
        <v>0</v>
      </c>
      <c r="F56" s="57">
        <v>0.17953220442513917</v>
      </c>
      <c r="G56" s="44">
        <v>4.2</v>
      </c>
      <c r="H56" s="44">
        <v>6.5000000000000002E-2</v>
      </c>
      <c r="I56" s="45">
        <v>780</v>
      </c>
      <c r="J56" s="45">
        <v>130</v>
      </c>
      <c r="K56" s="46">
        <v>3.2</v>
      </c>
      <c r="L56" s="44">
        <v>21</v>
      </c>
      <c r="M56" s="44">
        <v>0</v>
      </c>
      <c r="N56" s="22"/>
      <c r="O56" s="1"/>
      <c r="P56" s="36"/>
      <c r="R56" s="66"/>
      <c r="S56" s="66"/>
      <c r="T56" s="8"/>
    </row>
    <row r="57" spans="1:20">
      <c r="A57" s="4">
        <f t="shared" si="0"/>
        <v>56</v>
      </c>
      <c r="B57" s="24">
        <v>2.12</v>
      </c>
      <c r="C57" s="24">
        <v>0.69499999999999995</v>
      </c>
      <c r="D57" s="24">
        <v>27.86</v>
      </c>
      <c r="E57" s="24">
        <v>0</v>
      </c>
      <c r="F57" s="57">
        <v>0.17953220442513917</v>
      </c>
      <c r="G57" s="44">
        <v>4.2</v>
      </c>
      <c r="H57" s="44">
        <v>6.5000000000000002E-2</v>
      </c>
      <c r="I57" s="45">
        <v>780</v>
      </c>
      <c r="J57" s="45">
        <v>130</v>
      </c>
      <c r="K57" s="46">
        <v>3.2</v>
      </c>
      <c r="L57" s="44">
        <v>21</v>
      </c>
      <c r="M57" s="44">
        <v>0</v>
      </c>
      <c r="N57" s="22"/>
      <c r="O57" s="1"/>
      <c r="P57" s="36"/>
      <c r="R57" s="66"/>
      <c r="S57" s="66"/>
      <c r="T57" s="8"/>
    </row>
    <row r="58" spans="1:20">
      <c r="A58" s="4">
        <f t="shared" si="0"/>
        <v>57</v>
      </c>
      <c r="B58" s="24">
        <v>3</v>
      </c>
      <c r="C58" s="24">
        <v>0.69499999999999995</v>
      </c>
      <c r="D58" s="24">
        <v>31.73</v>
      </c>
      <c r="E58" s="24">
        <v>0</v>
      </c>
      <c r="F58" s="57">
        <v>0.15855863309352519</v>
      </c>
      <c r="G58" s="44">
        <v>4.2</v>
      </c>
      <c r="H58" s="44">
        <v>6.5000000000000002E-2</v>
      </c>
      <c r="I58" s="45">
        <v>780</v>
      </c>
      <c r="J58" s="45">
        <v>130</v>
      </c>
      <c r="K58" s="46">
        <v>3.2</v>
      </c>
      <c r="L58" s="44">
        <v>21</v>
      </c>
      <c r="M58" s="44">
        <v>0</v>
      </c>
      <c r="N58" s="22"/>
      <c r="O58" s="1"/>
      <c r="P58" s="36"/>
      <c r="R58" s="66"/>
      <c r="S58" s="66"/>
      <c r="T58" s="8"/>
    </row>
    <row r="59" spans="1:20">
      <c r="A59" s="4">
        <f t="shared" si="0"/>
        <v>58</v>
      </c>
      <c r="B59" s="24">
        <v>2.89</v>
      </c>
      <c r="C59" s="24">
        <v>0.69499999999999995</v>
      </c>
      <c r="D59" s="24">
        <v>35.97</v>
      </c>
      <c r="E59" s="24">
        <v>0</v>
      </c>
      <c r="F59" s="57">
        <v>0.14896330437380201</v>
      </c>
      <c r="G59" s="44">
        <v>4.2</v>
      </c>
      <c r="H59" s="44">
        <v>6.5000000000000002E-2</v>
      </c>
      <c r="I59" s="45">
        <v>780</v>
      </c>
      <c r="J59" s="45">
        <v>130</v>
      </c>
      <c r="K59" s="46">
        <v>3.2</v>
      </c>
      <c r="L59" s="44">
        <v>21</v>
      </c>
      <c r="M59" s="44">
        <v>0</v>
      </c>
      <c r="N59" s="22"/>
      <c r="O59" s="1"/>
      <c r="P59" s="36"/>
      <c r="R59" s="66"/>
      <c r="S59" s="66"/>
      <c r="T59" s="8"/>
    </row>
    <row r="60" spans="1:20">
      <c r="A60" s="4">
        <f t="shared" si="0"/>
        <v>59</v>
      </c>
      <c r="B60" s="24">
        <v>2.2400000000000002</v>
      </c>
      <c r="C60" s="24">
        <v>0.60499999999999998</v>
      </c>
      <c r="D60" s="24">
        <v>37.840000000000003</v>
      </c>
      <c r="E60" s="24">
        <v>1.39</v>
      </c>
      <c r="F60" s="57">
        <v>0.15815449896694214</v>
      </c>
      <c r="G60" s="44">
        <v>4.2</v>
      </c>
      <c r="H60" s="44">
        <v>6.5000000000000002E-2</v>
      </c>
      <c r="I60" s="45">
        <v>780</v>
      </c>
      <c r="J60" s="45">
        <v>130</v>
      </c>
      <c r="K60" s="46">
        <v>3.2</v>
      </c>
      <c r="L60" s="44">
        <v>21</v>
      </c>
      <c r="M60" s="44">
        <v>42</v>
      </c>
      <c r="N60" s="22"/>
      <c r="O60" s="1"/>
      <c r="P60" s="36"/>
      <c r="R60" s="66"/>
      <c r="S60" s="66"/>
      <c r="T60" s="8"/>
    </row>
    <row r="61" spans="1:20">
      <c r="A61" s="4">
        <f t="shared" si="0"/>
        <v>60</v>
      </c>
      <c r="B61" s="24">
        <v>2.15</v>
      </c>
      <c r="C61" s="24">
        <v>0.60499999999999998</v>
      </c>
      <c r="D61" s="24">
        <v>40.44</v>
      </c>
      <c r="E61" s="24">
        <v>3.74</v>
      </c>
      <c r="F61" s="57">
        <v>0.17404256928694989</v>
      </c>
      <c r="G61" s="44">
        <v>4.2</v>
      </c>
      <c r="H61" s="44">
        <v>6.5000000000000002E-2</v>
      </c>
      <c r="I61" s="45">
        <v>780</v>
      </c>
      <c r="J61" s="45">
        <v>130</v>
      </c>
      <c r="K61" s="46">
        <v>3.2</v>
      </c>
      <c r="L61" s="44">
        <v>21</v>
      </c>
      <c r="M61" s="44">
        <v>42</v>
      </c>
      <c r="N61" s="22"/>
      <c r="O61" s="1"/>
      <c r="P61" s="36"/>
      <c r="R61" s="66"/>
      <c r="S61" s="66"/>
      <c r="T61" s="8"/>
    </row>
    <row r="62" spans="1:20">
      <c r="A62" s="4">
        <f t="shared" si="0"/>
        <v>61</v>
      </c>
      <c r="B62" s="24">
        <v>2.4700000000000002</v>
      </c>
      <c r="C62" s="24">
        <v>0.60499999999999998</v>
      </c>
      <c r="D62" s="24">
        <v>43.12</v>
      </c>
      <c r="E62" s="24">
        <v>6.16</v>
      </c>
      <c r="F62" s="57">
        <v>0.17082445745641917</v>
      </c>
      <c r="G62" s="44">
        <v>4.2</v>
      </c>
      <c r="H62" s="44">
        <v>6.5000000000000002E-2</v>
      </c>
      <c r="I62" s="45">
        <v>780</v>
      </c>
      <c r="J62" s="45">
        <v>130</v>
      </c>
      <c r="K62" s="46">
        <v>3.2</v>
      </c>
      <c r="L62" s="44">
        <v>21</v>
      </c>
      <c r="M62" s="44">
        <v>42</v>
      </c>
      <c r="N62" s="22"/>
      <c r="O62" s="1"/>
      <c r="P62" s="36"/>
      <c r="R62" s="66"/>
      <c r="S62" s="66"/>
      <c r="T62" s="8"/>
    </row>
    <row r="63" spans="1:20">
      <c r="A63" s="4">
        <f t="shared" si="0"/>
        <v>62</v>
      </c>
      <c r="B63" s="24">
        <v>3.57</v>
      </c>
      <c r="C63" s="24">
        <v>0.60499999999999998</v>
      </c>
      <c r="D63" s="24">
        <v>46.34</v>
      </c>
      <c r="E63" s="24">
        <v>9.06</v>
      </c>
      <c r="F63" s="57">
        <v>0.16277154432020741</v>
      </c>
      <c r="G63" s="44">
        <v>4.2</v>
      </c>
      <c r="H63" s="44">
        <v>6.5000000000000002E-2</v>
      </c>
      <c r="I63" s="45">
        <v>780</v>
      </c>
      <c r="J63" s="45">
        <v>130</v>
      </c>
      <c r="K63" s="46">
        <v>3.2</v>
      </c>
      <c r="L63" s="44">
        <v>21</v>
      </c>
      <c r="M63" s="44">
        <v>42</v>
      </c>
      <c r="N63" s="22"/>
      <c r="O63" s="1"/>
      <c r="P63" s="36"/>
      <c r="R63" s="66"/>
      <c r="S63" s="66"/>
      <c r="T63" s="8"/>
    </row>
    <row r="64" spans="1:20">
      <c r="A64" s="4">
        <f t="shared" si="0"/>
        <v>63</v>
      </c>
      <c r="B64" s="24">
        <v>1.3</v>
      </c>
      <c r="C64" s="24">
        <v>0.60499999999999998</v>
      </c>
      <c r="D64" s="24">
        <v>49.12</v>
      </c>
      <c r="E64" s="24">
        <v>11.57</v>
      </c>
      <c r="F64" s="57">
        <v>0.1700044411951685</v>
      </c>
      <c r="G64" s="44">
        <v>4.2</v>
      </c>
      <c r="H64" s="44">
        <v>6.5000000000000002E-2</v>
      </c>
      <c r="I64" s="45">
        <v>780</v>
      </c>
      <c r="J64" s="45">
        <v>130</v>
      </c>
      <c r="K64" s="46">
        <v>3.2</v>
      </c>
      <c r="L64" s="44">
        <v>21</v>
      </c>
      <c r="M64" s="44">
        <v>42</v>
      </c>
      <c r="N64" s="22"/>
      <c r="O64" s="1"/>
      <c r="P64" s="36"/>
      <c r="R64" s="66"/>
      <c r="S64" s="66"/>
      <c r="T64" s="8"/>
    </row>
    <row r="65" spans="1:21">
      <c r="A65" s="4">
        <f t="shared" si="0"/>
        <v>64</v>
      </c>
      <c r="B65" s="24">
        <v>1</v>
      </c>
      <c r="C65" s="24">
        <v>0.45499999999999996</v>
      </c>
      <c r="D65" s="24">
        <v>44.78</v>
      </c>
      <c r="E65" s="24">
        <v>16.93</v>
      </c>
      <c r="F65" s="57">
        <v>0.16789247692307693</v>
      </c>
      <c r="G65" s="44">
        <v>4.2</v>
      </c>
      <c r="H65" s="44">
        <v>6.5000000000000002E-2</v>
      </c>
      <c r="I65" s="45">
        <v>780</v>
      </c>
      <c r="J65" s="45">
        <v>130</v>
      </c>
      <c r="K65" s="46">
        <v>3.2</v>
      </c>
      <c r="L65" s="44">
        <v>21</v>
      </c>
      <c r="M65" s="44">
        <v>36</v>
      </c>
      <c r="N65" s="22"/>
      <c r="O65" s="1"/>
      <c r="P65" s="36"/>
      <c r="R65" s="66"/>
      <c r="S65" s="66"/>
      <c r="T65" s="8"/>
    </row>
    <row r="66" spans="1:21">
      <c r="A66" s="4">
        <f t="shared" si="0"/>
        <v>65</v>
      </c>
      <c r="B66" s="24">
        <v>1.2</v>
      </c>
      <c r="C66" s="24">
        <v>0.45499999999999996</v>
      </c>
      <c r="D66" s="24">
        <v>42.92</v>
      </c>
      <c r="E66" s="24">
        <v>15.57</v>
      </c>
      <c r="F66" s="57">
        <v>0.19877419230769233</v>
      </c>
      <c r="G66" s="44">
        <v>4.2</v>
      </c>
      <c r="H66" s="44">
        <v>6.5000000000000002E-2</v>
      </c>
      <c r="I66" s="45">
        <v>780</v>
      </c>
      <c r="J66" s="45">
        <v>130</v>
      </c>
      <c r="K66" s="46">
        <v>3.2</v>
      </c>
      <c r="L66" s="44">
        <v>21</v>
      </c>
      <c r="M66" s="44">
        <v>36</v>
      </c>
      <c r="N66" s="22"/>
      <c r="O66" s="1"/>
      <c r="P66" s="36"/>
      <c r="R66" s="66"/>
      <c r="S66" s="66"/>
      <c r="T66" s="8"/>
    </row>
    <row r="67" spans="1:21">
      <c r="A67" s="4">
        <f t="shared" si="0"/>
        <v>66</v>
      </c>
      <c r="B67" s="24">
        <v>1.29</v>
      </c>
      <c r="C67" s="24">
        <v>0.18</v>
      </c>
      <c r="D67" s="24">
        <v>39.799999999999997</v>
      </c>
      <c r="E67" s="24">
        <v>9.18</v>
      </c>
      <c r="F67" s="57">
        <v>0.23991809523809518</v>
      </c>
      <c r="G67" s="44">
        <v>4.2</v>
      </c>
      <c r="H67" s="44">
        <v>6.3E-2</v>
      </c>
      <c r="I67" s="45">
        <v>756</v>
      </c>
      <c r="J67" s="45">
        <v>126</v>
      </c>
      <c r="K67" s="46">
        <v>2.41</v>
      </c>
      <c r="L67" s="44">
        <v>18</v>
      </c>
      <c r="M67" s="44">
        <v>127</v>
      </c>
      <c r="N67" s="22"/>
      <c r="O67" s="1"/>
      <c r="P67" s="36"/>
      <c r="R67" s="66"/>
      <c r="S67" s="66"/>
      <c r="T67" s="8"/>
    </row>
    <row r="68" spans="1:21">
      <c r="A68" s="4">
        <f t="shared" si="0"/>
        <v>67</v>
      </c>
      <c r="B68" s="24">
        <v>1.18</v>
      </c>
      <c r="C68" s="24">
        <v>0.18</v>
      </c>
      <c r="D68" s="24">
        <v>41.06</v>
      </c>
      <c r="E68" s="24">
        <v>7.78</v>
      </c>
      <c r="F68" s="57">
        <v>0.27628897336561736</v>
      </c>
      <c r="G68" s="44">
        <v>4.2</v>
      </c>
      <c r="H68" s="44">
        <v>6.3E-2</v>
      </c>
      <c r="I68" s="45">
        <v>756</v>
      </c>
      <c r="J68" s="45">
        <v>126</v>
      </c>
      <c r="K68" s="46">
        <v>2.41</v>
      </c>
      <c r="L68" s="44">
        <v>18</v>
      </c>
      <c r="M68" s="44">
        <v>127</v>
      </c>
      <c r="N68" s="22"/>
      <c r="O68" s="1"/>
      <c r="P68" s="36"/>
      <c r="R68" s="66"/>
      <c r="S68" s="66"/>
      <c r="T68" s="8"/>
    </row>
    <row r="69" spans="1:21">
      <c r="A69" s="4">
        <f t="shared" si="0"/>
        <v>68</v>
      </c>
      <c r="B69" s="24">
        <v>0.44</v>
      </c>
      <c r="C69" s="24">
        <v>0.18</v>
      </c>
      <c r="D69" s="24">
        <v>42.22</v>
      </c>
      <c r="E69" s="24">
        <v>5.99</v>
      </c>
      <c r="F69" s="57">
        <v>0.18947142857142854</v>
      </c>
      <c r="G69" s="44">
        <v>4.2</v>
      </c>
      <c r="H69" s="44">
        <v>6.3E-2</v>
      </c>
      <c r="I69" s="45">
        <v>756</v>
      </c>
      <c r="J69" s="45">
        <v>126</v>
      </c>
      <c r="K69" s="46">
        <v>2.41</v>
      </c>
      <c r="L69" s="44">
        <v>18</v>
      </c>
      <c r="M69" s="44">
        <v>127</v>
      </c>
      <c r="N69" s="22"/>
      <c r="O69" s="1"/>
      <c r="P69" s="36"/>
      <c r="R69" s="66"/>
      <c r="S69" s="66"/>
      <c r="T69" s="8"/>
    </row>
    <row r="70" spans="1:21">
      <c r="A70" s="4">
        <f t="shared" ref="A70:A92" si="1">A69+1</f>
        <v>69</v>
      </c>
      <c r="B70" s="24">
        <v>0.8</v>
      </c>
      <c r="C70" s="24">
        <v>0.505</v>
      </c>
      <c r="D70" s="24">
        <v>45.51</v>
      </c>
      <c r="E70" s="24">
        <v>17.260000000000002</v>
      </c>
      <c r="F70" s="57">
        <v>0.28102385396039603</v>
      </c>
      <c r="G70" s="44">
        <v>4.2</v>
      </c>
      <c r="H70" s="44">
        <v>6.5000000000000002E-2</v>
      </c>
      <c r="I70" s="45">
        <v>780</v>
      </c>
      <c r="J70" s="45">
        <v>130</v>
      </c>
      <c r="K70" s="46">
        <v>3.2</v>
      </c>
      <c r="L70" s="44">
        <v>21</v>
      </c>
      <c r="M70" s="44">
        <v>127</v>
      </c>
      <c r="N70" s="22"/>
      <c r="O70" s="1"/>
      <c r="P70" s="36"/>
      <c r="R70" s="66"/>
      <c r="S70" s="66"/>
      <c r="T70" s="8"/>
    </row>
    <row r="71" spans="1:21">
      <c r="A71" s="4">
        <f t="shared" si="1"/>
        <v>70</v>
      </c>
      <c r="B71" s="24">
        <v>0.8</v>
      </c>
      <c r="C71" s="24">
        <v>0.47499999999999998</v>
      </c>
      <c r="D71" s="24">
        <v>41.85</v>
      </c>
      <c r="E71" s="24">
        <v>15.2</v>
      </c>
      <c r="F71" s="57">
        <v>0.12343849736842104</v>
      </c>
      <c r="G71" s="44">
        <v>4.2</v>
      </c>
      <c r="H71" s="44">
        <v>6.5000000000000002E-2</v>
      </c>
      <c r="I71" s="45">
        <v>780</v>
      </c>
      <c r="J71" s="45">
        <v>130</v>
      </c>
      <c r="K71" s="46">
        <v>3.2</v>
      </c>
      <c r="L71" s="44">
        <v>21</v>
      </c>
      <c r="M71" s="44">
        <v>0</v>
      </c>
      <c r="N71" s="22"/>
      <c r="O71" s="1"/>
      <c r="P71" s="36"/>
      <c r="R71" s="66"/>
      <c r="S71" s="66"/>
      <c r="T71" s="8"/>
    </row>
    <row r="72" spans="1:21">
      <c r="A72" s="4">
        <f t="shared" si="1"/>
        <v>71</v>
      </c>
      <c r="B72" s="24">
        <v>1.3</v>
      </c>
      <c r="C72" s="24">
        <v>0.47499999999999998</v>
      </c>
      <c r="D72" s="24">
        <v>39.630000000000003</v>
      </c>
      <c r="E72" s="24">
        <v>15.15</v>
      </c>
      <c r="F72" s="57">
        <v>0.12597222672064778</v>
      </c>
      <c r="G72" s="44">
        <v>4.2</v>
      </c>
      <c r="H72" s="44">
        <v>6.5000000000000002E-2</v>
      </c>
      <c r="I72" s="45">
        <v>780</v>
      </c>
      <c r="J72" s="45">
        <v>130</v>
      </c>
      <c r="K72" s="46">
        <v>3.2</v>
      </c>
      <c r="L72" s="44">
        <v>21</v>
      </c>
      <c r="M72" s="44">
        <v>0</v>
      </c>
      <c r="N72" s="22"/>
      <c r="O72" s="1"/>
      <c r="P72" s="36"/>
      <c r="R72" s="66"/>
      <c r="S72" s="66"/>
      <c r="T72" s="8"/>
    </row>
    <row r="73" spans="1:21">
      <c r="A73" s="4">
        <f t="shared" si="1"/>
        <v>72</v>
      </c>
      <c r="B73" s="24">
        <v>0.84</v>
      </c>
      <c r="C73" s="24">
        <v>0.47499999999999998</v>
      </c>
      <c r="D73" s="24">
        <v>37.36</v>
      </c>
      <c r="E73" s="24">
        <v>15.1</v>
      </c>
      <c r="F73" s="57">
        <v>0.1310026315789474</v>
      </c>
      <c r="G73" s="44">
        <v>4.2</v>
      </c>
      <c r="H73" s="44">
        <v>6.5000000000000002E-2</v>
      </c>
      <c r="I73" s="45">
        <v>780</v>
      </c>
      <c r="J73" s="45">
        <v>130</v>
      </c>
      <c r="K73" s="46">
        <v>3.2</v>
      </c>
      <c r="L73" s="44">
        <v>21</v>
      </c>
      <c r="M73" s="44">
        <v>0</v>
      </c>
      <c r="N73" s="22"/>
      <c r="O73" s="1"/>
      <c r="P73" s="36"/>
      <c r="R73" s="66"/>
      <c r="S73" s="66"/>
      <c r="T73" s="8"/>
    </row>
    <row r="74" spans="1:21">
      <c r="A74" s="4">
        <f t="shared" si="1"/>
        <v>73</v>
      </c>
      <c r="B74" s="24">
        <v>0.66</v>
      </c>
      <c r="C74" s="24">
        <v>0.47499999999999998</v>
      </c>
      <c r="D74" s="24">
        <v>35.78</v>
      </c>
      <c r="E74" s="24">
        <v>15.06</v>
      </c>
      <c r="F74" s="57">
        <v>0.14157081339712921</v>
      </c>
      <c r="G74" s="44">
        <v>4.2</v>
      </c>
      <c r="H74" s="44">
        <v>6.5000000000000002E-2</v>
      </c>
      <c r="I74" s="45">
        <v>780</v>
      </c>
      <c r="J74" s="45">
        <v>130</v>
      </c>
      <c r="K74" s="46">
        <v>3.2</v>
      </c>
      <c r="L74" s="44">
        <v>21</v>
      </c>
      <c r="M74" s="44">
        <v>0</v>
      </c>
      <c r="N74" s="22"/>
      <c r="O74" s="1"/>
      <c r="P74" s="36"/>
      <c r="R74" s="66"/>
      <c r="S74" s="66"/>
      <c r="T74" s="8"/>
    </row>
    <row r="75" spans="1:21">
      <c r="A75" s="4">
        <f t="shared" si="1"/>
        <v>74</v>
      </c>
      <c r="B75" s="24">
        <v>2.8</v>
      </c>
      <c r="C75" s="24">
        <v>0.47499999999999998</v>
      </c>
      <c r="D75" s="24">
        <v>32.840000000000003</v>
      </c>
      <c r="E75" s="24">
        <v>14.99</v>
      </c>
      <c r="F75" s="57">
        <v>0.10387763157894735</v>
      </c>
      <c r="G75" s="44">
        <v>4.2</v>
      </c>
      <c r="H75" s="44">
        <v>6.5000000000000002E-2</v>
      </c>
      <c r="I75" s="45">
        <v>780</v>
      </c>
      <c r="J75" s="45">
        <v>130</v>
      </c>
      <c r="K75" s="46">
        <v>3.2</v>
      </c>
      <c r="L75" s="44">
        <v>21</v>
      </c>
      <c r="M75" s="44">
        <v>0</v>
      </c>
      <c r="N75" s="22"/>
      <c r="O75" s="1"/>
      <c r="P75" s="36"/>
      <c r="R75" s="66"/>
      <c r="S75" s="66"/>
      <c r="T75" s="8"/>
    </row>
    <row r="76" spans="1:21">
      <c r="A76" s="4">
        <f t="shared" si="1"/>
        <v>75</v>
      </c>
      <c r="B76" s="24">
        <v>2.5</v>
      </c>
      <c r="C76" s="24">
        <v>0.47499999999999998</v>
      </c>
      <c r="D76" s="24">
        <v>28.99</v>
      </c>
      <c r="E76" s="24">
        <v>14.89</v>
      </c>
      <c r="F76" s="57">
        <v>9.8762631578947366E-2</v>
      </c>
      <c r="G76" s="44">
        <v>4.2</v>
      </c>
      <c r="H76" s="44">
        <v>6.5000000000000002E-2</v>
      </c>
      <c r="I76" s="45">
        <v>780</v>
      </c>
      <c r="J76" s="45">
        <v>130</v>
      </c>
      <c r="K76" s="46">
        <v>3.2</v>
      </c>
      <c r="L76" s="44">
        <v>21</v>
      </c>
      <c r="M76" s="44">
        <v>0</v>
      </c>
      <c r="N76" s="22"/>
      <c r="O76" s="1"/>
      <c r="P76" s="36"/>
      <c r="R76" s="66"/>
      <c r="S76" s="66"/>
      <c r="T76" s="8"/>
    </row>
    <row r="77" spans="1:21">
      <c r="A77" s="4">
        <f t="shared" si="1"/>
        <v>76</v>
      </c>
      <c r="B77" s="24">
        <v>1.7</v>
      </c>
      <c r="C77" s="24">
        <v>0.47499999999999998</v>
      </c>
      <c r="D77" s="24">
        <v>24.48</v>
      </c>
      <c r="E77" s="24">
        <v>14.79</v>
      </c>
      <c r="F77" s="57">
        <v>0.10182616099071208</v>
      </c>
      <c r="G77" s="44">
        <v>4.2</v>
      </c>
      <c r="H77" s="44">
        <v>6.5000000000000002E-2</v>
      </c>
      <c r="I77" s="45">
        <v>780</v>
      </c>
      <c r="J77" s="45">
        <v>130</v>
      </c>
      <c r="K77" s="46">
        <v>3.2</v>
      </c>
      <c r="L77" s="44">
        <v>21</v>
      </c>
      <c r="M77" s="44">
        <v>0</v>
      </c>
      <c r="N77" s="22"/>
      <c r="O77" s="1"/>
      <c r="P77" s="36"/>
      <c r="R77" s="66"/>
      <c r="S77" s="66"/>
      <c r="T77" s="8"/>
    </row>
    <row r="78" spans="1:21" s="34" customFormat="1" ht="15" thickBot="1">
      <c r="A78" s="39">
        <f t="shared" si="1"/>
        <v>77</v>
      </c>
      <c r="B78" s="40">
        <v>0.9</v>
      </c>
      <c r="C78" s="40">
        <v>0.47499999999999998</v>
      </c>
      <c r="D78" s="40">
        <v>22.28</v>
      </c>
      <c r="E78" s="40">
        <v>14.73</v>
      </c>
      <c r="F78" s="58">
        <v>0.1103359649122807</v>
      </c>
      <c r="G78" s="48">
        <v>4.2</v>
      </c>
      <c r="H78" s="44">
        <v>6.5000000000000002E-2</v>
      </c>
      <c r="I78" s="49">
        <v>780</v>
      </c>
      <c r="J78" s="49">
        <v>130</v>
      </c>
      <c r="K78" s="46">
        <v>3.2</v>
      </c>
      <c r="L78" s="44">
        <v>21</v>
      </c>
      <c r="M78" s="48">
        <v>0</v>
      </c>
      <c r="N78" s="22"/>
      <c r="O78" s="1"/>
      <c r="P78" s="36"/>
      <c r="Q78"/>
      <c r="R78" s="66"/>
      <c r="S78" s="66"/>
      <c r="T78" s="8"/>
      <c r="U78"/>
    </row>
    <row r="79" spans="1:21">
      <c r="A79" s="37">
        <f t="shared" si="1"/>
        <v>78</v>
      </c>
      <c r="B79" s="38">
        <v>1.7</v>
      </c>
      <c r="C79" s="38">
        <v>0.47499999999999998</v>
      </c>
      <c r="D79" s="38">
        <v>49.72</v>
      </c>
      <c r="E79" s="38">
        <v>12.54</v>
      </c>
      <c r="F79" s="60">
        <v>0.18110497956656349</v>
      </c>
      <c r="G79" s="51">
        <v>4.2</v>
      </c>
      <c r="H79" s="44">
        <v>6.5000000000000002E-2</v>
      </c>
      <c r="I79" s="52">
        <v>780</v>
      </c>
      <c r="J79" s="52">
        <v>130</v>
      </c>
      <c r="K79" s="46">
        <v>3.2</v>
      </c>
      <c r="L79" s="44">
        <v>21</v>
      </c>
      <c r="M79" s="51">
        <v>69</v>
      </c>
      <c r="N79" s="22"/>
      <c r="O79" s="1"/>
      <c r="P79" s="36"/>
      <c r="R79" s="66"/>
      <c r="S79" s="66"/>
      <c r="T79" s="8"/>
    </row>
    <row r="80" spans="1:21">
      <c r="A80" s="4">
        <f t="shared" si="1"/>
        <v>79</v>
      </c>
      <c r="B80" s="24">
        <v>3.42</v>
      </c>
      <c r="C80" s="24">
        <v>0.47499999999999998</v>
      </c>
      <c r="D80" s="24">
        <v>51.13</v>
      </c>
      <c r="E80" s="24">
        <v>16.14</v>
      </c>
      <c r="F80" s="57">
        <v>0.19920615943367193</v>
      </c>
      <c r="G80" s="44">
        <v>4.2</v>
      </c>
      <c r="H80" s="44">
        <v>6.5000000000000002E-2</v>
      </c>
      <c r="I80" s="45">
        <v>780</v>
      </c>
      <c r="J80" s="45">
        <v>130</v>
      </c>
      <c r="K80" s="46">
        <v>3.2</v>
      </c>
      <c r="L80" s="44">
        <v>21</v>
      </c>
      <c r="M80" s="51">
        <v>69</v>
      </c>
      <c r="N80" s="22"/>
      <c r="O80" s="1"/>
      <c r="P80" s="36"/>
      <c r="R80" s="66"/>
      <c r="S80" s="66"/>
      <c r="T80" s="8"/>
    </row>
    <row r="81" spans="1:20">
      <c r="A81" s="4">
        <f t="shared" si="1"/>
        <v>80</v>
      </c>
      <c r="B81" s="24">
        <v>3.15</v>
      </c>
      <c r="C81" s="24">
        <v>0.47499999999999998</v>
      </c>
      <c r="D81" s="24">
        <v>52.81</v>
      </c>
      <c r="E81" s="24">
        <v>20.420000000000002</v>
      </c>
      <c r="F81" s="57">
        <v>0.17846207251461987</v>
      </c>
      <c r="G81" s="44">
        <v>4.2</v>
      </c>
      <c r="H81" s="44">
        <v>6.5000000000000002E-2</v>
      </c>
      <c r="I81" s="45">
        <v>780</v>
      </c>
      <c r="J81" s="45">
        <v>130</v>
      </c>
      <c r="K81" s="46">
        <v>3.2</v>
      </c>
      <c r="L81" s="44">
        <v>21</v>
      </c>
      <c r="M81" s="51">
        <v>69</v>
      </c>
      <c r="N81" s="22"/>
      <c r="O81" s="1"/>
      <c r="P81" s="36"/>
      <c r="R81" s="66"/>
      <c r="S81" s="66"/>
      <c r="T81" s="8"/>
    </row>
    <row r="82" spans="1:20">
      <c r="A82" s="4">
        <f t="shared" si="1"/>
        <v>81</v>
      </c>
      <c r="B82" s="24">
        <v>1</v>
      </c>
      <c r="C82" s="24">
        <v>0.47499999999999998</v>
      </c>
      <c r="D82" s="24">
        <v>54.03</v>
      </c>
      <c r="E82" s="24">
        <v>23.55</v>
      </c>
      <c r="F82" s="57">
        <v>0.21750686526315788</v>
      </c>
      <c r="G82" s="44">
        <v>4.2</v>
      </c>
      <c r="H82" s="44">
        <v>6.5000000000000002E-2</v>
      </c>
      <c r="I82" s="45">
        <v>780</v>
      </c>
      <c r="J82" s="45">
        <v>130</v>
      </c>
      <c r="K82" s="46">
        <v>3.2</v>
      </c>
      <c r="L82" s="44">
        <v>21</v>
      </c>
      <c r="M82" s="51">
        <v>69</v>
      </c>
      <c r="N82" s="22"/>
      <c r="O82" s="1"/>
      <c r="P82" s="36"/>
      <c r="R82" s="66"/>
      <c r="S82" s="66"/>
      <c r="T82" s="8"/>
    </row>
    <row r="83" spans="1:20">
      <c r="A83" s="4">
        <f t="shared" si="1"/>
        <v>82</v>
      </c>
      <c r="B83" s="24">
        <v>0.6</v>
      </c>
      <c r="C83" s="24">
        <v>0.47499999999999998</v>
      </c>
      <c r="D83" s="24">
        <v>54.69</v>
      </c>
      <c r="E83" s="24">
        <v>25.23</v>
      </c>
      <c r="F83" s="57">
        <v>0.18491353684210526</v>
      </c>
      <c r="G83" s="44">
        <v>4.2</v>
      </c>
      <c r="H83" s="44">
        <v>6.5000000000000002E-2</v>
      </c>
      <c r="I83" s="45">
        <v>780</v>
      </c>
      <c r="J83" s="45">
        <v>130</v>
      </c>
      <c r="K83" s="46">
        <v>3.2</v>
      </c>
      <c r="L83" s="44">
        <v>21</v>
      </c>
      <c r="M83" s="51">
        <v>69</v>
      </c>
      <c r="N83" s="22"/>
      <c r="O83" s="1"/>
      <c r="P83" s="36"/>
      <c r="R83" s="66"/>
      <c r="S83" s="66"/>
      <c r="T83" s="8"/>
    </row>
    <row r="84" spans="1:20">
      <c r="A84" s="4">
        <f t="shared" si="1"/>
        <v>83</v>
      </c>
      <c r="B84" s="24">
        <v>1.96</v>
      </c>
      <c r="C84" s="24">
        <v>0.35499999999999998</v>
      </c>
      <c r="D84" s="24">
        <v>47.18</v>
      </c>
      <c r="E84" s="24">
        <v>26.04</v>
      </c>
      <c r="F84" s="57">
        <v>0.2089860362173038</v>
      </c>
      <c r="G84" s="44">
        <v>4.2</v>
      </c>
      <c r="H84" s="44">
        <v>6.5000000000000002E-2</v>
      </c>
      <c r="I84" s="45">
        <v>780</v>
      </c>
      <c r="J84" s="45">
        <v>130</v>
      </c>
      <c r="K84" s="46">
        <v>3.2</v>
      </c>
      <c r="L84" s="44">
        <v>21</v>
      </c>
      <c r="M84" s="44">
        <v>172</v>
      </c>
      <c r="N84" s="22"/>
      <c r="O84" s="1"/>
      <c r="P84" s="36"/>
      <c r="R84" s="66"/>
      <c r="S84" s="66"/>
      <c r="T84" s="8"/>
    </row>
    <row r="85" spans="1:20">
      <c r="A85" s="4">
        <f t="shared" si="1"/>
        <v>84</v>
      </c>
      <c r="B85" s="24">
        <v>2</v>
      </c>
      <c r="C85" s="24">
        <v>0.35499999999999998</v>
      </c>
      <c r="D85" s="24">
        <v>50.17</v>
      </c>
      <c r="E85" s="24">
        <v>25.71</v>
      </c>
      <c r="F85" s="57">
        <v>0.2997628464788733</v>
      </c>
      <c r="G85" s="44">
        <v>4.2</v>
      </c>
      <c r="H85" s="44">
        <v>6.5000000000000002E-2</v>
      </c>
      <c r="I85" s="45">
        <v>780</v>
      </c>
      <c r="J85" s="45">
        <v>130</v>
      </c>
      <c r="K85" s="46">
        <v>3.2</v>
      </c>
      <c r="L85" s="44">
        <v>21</v>
      </c>
      <c r="M85" s="55">
        <v>172</v>
      </c>
      <c r="N85" s="22"/>
      <c r="O85" s="1"/>
      <c r="P85" s="36"/>
      <c r="R85" s="66"/>
      <c r="S85" s="66"/>
      <c r="T85" s="8"/>
    </row>
    <row r="86" spans="1:20">
      <c r="A86" s="4">
        <f t="shared" si="1"/>
        <v>85</v>
      </c>
      <c r="B86" s="24">
        <v>2.27</v>
      </c>
      <c r="C86" s="24">
        <v>0.29499999999999998</v>
      </c>
      <c r="D86" s="24">
        <v>50.29</v>
      </c>
      <c r="E86" s="24">
        <v>21.16</v>
      </c>
      <c r="F86" s="57">
        <v>0.17811955200477861</v>
      </c>
      <c r="G86" s="44">
        <v>4.2</v>
      </c>
      <c r="H86" s="44">
        <v>6.5000000000000002E-2</v>
      </c>
      <c r="I86" s="45">
        <v>780</v>
      </c>
      <c r="J86" s="45">
        <v>130</v>
      </c>
      <c r="K86" s="46">
        <v>3.2</v>
      </c>
      <c r="L86" s="44">
        <v>21</v>
      </c>
      <c r="M86" s="55">
        <v>162</v>
      </c>
      <c r="N86" s="22"/>
      <c r="O86" s="1"/>
      <c r="P86" s="36"/>
      <c r="R86" s="66"/>
      <c r="S86" s="66"/>
      <c r="T86" s="8"/>
    </row>
    <row r="87" spans="1:20">
      <c r="A87" s="4">
        <f t="shared" si="1"/>
        <v>86</v>
      </c>
      <c r="B87" s="24">
        <v>3.31</v>
      </c>
      <c r="C87" s="24">
        <v>0.13500000000000001</v>
      </c>
      <c r="D87" s="24">
        <v>49.33</v>
      </c>
      <c r="E87" s="24">
        <v>23.02</v>
      </c>
      <c r="F87" s="57">
        <v>0.15002395658498377</v>
      </c>
      <c r="G87" s="44">
        <v>4.2</v>
      </c>
      <c r="H87" s="44">
        <v>6.3E-2</v>
      </c>
      <c r="I87" s="45">
        <v>756</v>
      </c>
      <c r="J87" s="45">
        <v>126</v>
      </c>
      <c r="K87" s="46">
        <v>2.41</v>
      </c>
      <c r="L87" s="44">
        <v>18</v>
      </c>
      <c r="M87" s="55">
        <v>85</v>
      </c>
      <c r="N87" s="22"/>
      <c r="O87" s="1"/>
      <c r="P87" s="36"/>
      <c r="R87" s="66"/>
      <c r="S87" s="66"/>
      <c r="T87" s="8"/>
    </row>
    <row r="88" spans="1:20">
      <c r="A88" s="4">
        <f t="shared" si="1"/>
        <v>87</v>
      </c>
      <c r="B88" s="24">
        <v>2.2200000000000002</v>
      </c>
      <c r="C88" s="24">
        <v>0.29499999999999998</v>
      </c>
      <c r="D88" s="24">
        <v>51.51</v>
      </c>
      <c r="E88" s="24">
        <v>24.42</v>
      </c>
      <c r="F88" s="57">
        <v>0.15635545121392577</v>
      </c>
      <c r="G88" s="44">
        <v>4.2</v>
      </c>
      <c r="H88" s="44">
        <v>6.5000000000000002E-2</v>
      </c>
      <c r="I88" s="45">
        <v>780</v>
      </c>
      <c r="J88" s="45">
        <v>130</v>
      </c>
      <c r="K88" s="46">
        <v>3.2</v>
      </c>
      <c r="L88" s="44">
        <v>21</v>
      </c>
      <c r="M88" s="55">
        <v>162</v>
      </c>
      <c r="N88" s="22"/>
      <c r="O88" s="1"/>
      <c r="P88" s="36"/>
      <c r="R88" s="66"/>
      <c r="S88" s="66"/>
      <c r="T88" s="8"/>
    </row>
    <row r="89" spans="1:20">
      <c r="A89" s="4">
        <f t="shared" si="1"/>
        <v>88</v>
      </c>
      <c r="B89" s="24">
        <v>2.4</v>
      </c>
      <c r="C89" s="24">
        <v>0.35499999999999998</v>
      </c>
      <c r="D89" s="24">
        <v>45.87</v>
      </c>
      <c r="E89" s="24">
        <v>25.59</v>
      </c>
      <c r="F89" s="57">
        <v>0.10867298708920185</v>
      </c>
      <c r="G89" s="44">
        <v>4.2</v>
      </c>
      <c r="H89" s="44">
        <v>6.5000000000000002E-2</v>
      </c>
      <c r="I89" s="45">
        <v>780</v>
      </c>
      <c r="J89" s="45">
        <v>130</v>
      </c>
      <c r="K89" s="46">
        <v>3.2</v>
      </c>
      <c r="L89" s="44">
        <v>21</v>
      </c>
      <c r="M89" s="55">
        <v>84</v>
      </c>
      <c r="N89" s="22"/>
      <c r="O89" s="1"/>
      <c r="P89" s="36"/>
      <c r="R89" s="66"/>
      <c r="S89" s="66"/>
      <c r="T89" s="8"/>
    </row>
    <row r="90" spans="1:20">
      <c r="A90" s="4">
        <f t="shared" si="1"/>
        <v>89</v>
      </c>
      <c r="B90" s="24">
        <v>3.5</v>
      </c>
      <c r="C90" s="24">
        <v>0.35499999999999998</v>
      </c>
      <c r="D90" s="24">
        <v>45.44</v>
      </c>
      <c r="E90" s="24">
        <v>21.47</v>
      </c>
      <c r="F90" s="57">
        <v>0.11603820845070421</v>
      </c>
      <c r="G90" s="44">
        <v>4.2</v>
      </c>
      <c r="H90" s="44">
        <v>6.5000000000000002E-2</v>
      </c>
      <c r="I90" s="45">
        <v>780</v>
      </c>
      <c r="J90" s="45">
        <v>130</v>
      </c>
      <c r="K90" s="46">
        <v>3.2</v>
      </c>
      <c r="L90" s="44">
        <v>21</v>
      </c>
      <c r="M90" s="55">
        <v>84</v>
      </c>
      <c r="N90" s="22"/>
      <c r="O90" s="1"/>
      <c r="P90" s="36"/>
      <c r="R90" s="66"/>
      <c r="S90" s="66"/>
      <c r="T90" s="8"/>
    </row>
    <row r="91" spans="1:20">
      <c r="A91" s="4">
        <f t="shared" si="1"/>
        <v>90</v>
      </c>
      <c r="B91" s="24">
        <v>1.3</v>
      </c>
      <c r="C91" s="24">
        <v>0.35499999999999998</v>
      </c>
      <c r="D91" s="24">
        <v>45.07</v>
      </c>
      <c r="E91" s="24">
        <v>17.86</v>
      </c>
      <c r="F91" s="57">
        <v>0.11546743445287108</v>
      </c>
      <c r="G91" s="44">
        <v>4.2</v>
      </c>
      <c r="H91" s="44">
        <v>6.5000000000000002E-2</v>
      </c>
      <c r="I91" s="45">
        <v>780</v>
      </c>
      <c r="J91" s="45">
        <v>130</v>
      </c>
      <c r="K91" s="46">
        <v>3.2</v>
      </c>
      <c r="L91" s="44">
        <v>21</v>
      </c>
      <c r="M91" s="55">
        <v>84</v>
      </c>
      <c r="N91" s="22"/>
      <c r="O91" s="1"/>
      <c r="P91" s="36"/>
      <c r="R91" s="66"/>
      <c r="S91" s="66"/>
      <c r="T91" s="8"/>
    </row>
    <row r="92" spans="1:20">
      <c r="A92" s="4">
        <f t="shared" si="1"/>
        <v>91</v>
      </c>
      <c r="B92" s="24">
        <v>1.77</v>
      </c>
      <c r="C92" s="24">
        <v>0.155</v>
      </c>
      <c r="D92" s="24">
        <v>47.3</v>
      </c>
      <c r="E92" s="24">
        <v>21.81</v>
      </c>
      <c r="F92" s="57">
        <v>0.3108267031164571</v>
      </c>
      <c r="G92" s="44">
        <v>4.2</v>
      </c>
      <c r="H92" s="44">
        <v>6.3E-2</v>
      </c>
      <c r="I92" s="45">
        <v>756</v>
      </c>
      <c r="J92" s="45">
        <v>126</v>
      </c>
      <c r="K92" s="46">
        <v>2.41</v>
      </c>
      <c r="L92" s="44">
        <v>18</v>
      </c>
      <c r="M92" s="55">
        <v>174</v>
      </c>
      <c r="N92" s="22"/>
      <c r="O92" s="1"/>
      <c r="P92" s="36"/>
      <c r="R92" s="66"/>
      <c r="S92" s="66"/>
      <c r="T92" s="8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BCCFC-95EB-44F8-A3A7-FFFB563FBFCD}">
  <sheetPr codeName="Foglio5"/>
  <dimension ref="A1:AF78"/>
  <sheetViews>
    <sheetView zoomScale="63" zoomScaleNormal="115" workbookViewId="0">
      <selection activeCell="O8" sqref="O8"/>
    </sheetView>
  </sheetViews>
  <sheetFormatPr defaultColWidth="8.90625" defaultRowHeight="14.5"/>
  <cols>
    <col min="2" max="3" width="7.26953125" bestFit="1" customWidth="1"/>
    <col min="4" max="4" width="7" bestFit="1" customWidth="1"/>
    <col min="5" max="5" width="6.90625" bestFit="1" customWidth="1"/>
    <col min="6" max="6" width="8.453125" bestFit="1" customWidth="1"/>
    <col min="7" max="7" width="5.6328125" bestFit="1" customWidth="1"/>
    <col min="8" max="8" width="8.26953125" bestFit="1" customWidth="1"/>
    <col min="9" max="10" width="8.6328125" bestFit="1" customWidth="1"/>
    <col min="11" max="12" width="8.26953125" customWidth="1"/>
    <col min="13" max="14" width="9.453125" customWidth="1"/>
    <col min="15" max="15" width="21.6328125" customWidth="1"/>
    <col min="16" max="16" width="14.6328125" customWidth="1"/>
    <col min="17" max="17" width="8.54296875" customWidth="1"/>
    <col min="19" max="19" width="8.90625" customWidth="1"/>
    <col min="22" max="22" width="19.90625" customWidth="1"/>
    <col min="28" max="28" width="11" customWidth="1"/>
  </cols>
  <sheetData>
    <row r="1" spans="1:32">
      <c r="A1" s="68" t="s">
        <v>8</v>
      </c>
      <c r="B1" s="68" t="s">
        <v>9</v>
      </c>
      <c r="C1" s="68" t="s">
        <v>10</v>
      </c>
      <c r="D1" s="68" t="s">
        <v>11</v>
      </c>
      <c r="E1" s="68" t="s">
        <v>12</v>
      </c>
      <c r="F1" s="68" t="s">
        <v>13</v>
      </c>
      <c r="G1" s="68" t="s">
        <v>6</v>
      </c>
      <c r="H1" s="68" t="s">
        <v>14</v>
      </c>
      <c r="I1" s="68" t="s">
        <v>17</v>
      </c>
      <c r="J1" s="68" t="s">
        <v>18</v>
      </c>
      <c r="K1" s="68" t="s">
        <v>15</v>
      </c>
      <c r="L1" s="68" t="s">
        <v>16</v>
      </c>
      <c r="M1" s="68" t="s">
        <v>0</v>
      </c>
      <c r="N1" s="21"/>
      <c r="O1" s="68"/>
      <c r="P1" s="68"/>
      <c r="Q1" s="68"/>
      <c r="R1" s="68"/>
      <c r="S1" s="68"/>
      <c r="T1" s="68"/>
      <c r="U1" s="68"/>
      <c r="W1" s="8"/>
      <c r="X1" s="9"/>
      <c r="Y1" s="9"/>
      <c r="Z1" s="9"/>
      <c r="AA1" s="9"/>
      <c r="AB1" s="10"/>
      <c r="AC1" s="8"/>
      <c r="AD1" s="11"/>
      <c r="AE1" s="9"/>
      <c r="AF1" s="9"/>
    </row>
    <row r="2" spans="1:32">
      <c r="A2" s="4">
        <v>1</v>
      </c>
      <c r="B2" s="25">
        <v>0.69</v>
      </c>
      <c r="C2" s="25">
        <v>0.4</v>
      </c>
      <c r="D2" s="25">
        <v>3.74</v>
      </c>
      <c r="E2" s="25">
        <v>8.33</v>
      </c>
      <c r="F2" s="63">
        <v>6.6600000000000006E-2</v>
      </c>
      <c r="G2" s="44">
        <v>2.2000000000000002</v>
      </c>
      <c r="H2" s="44">
        <v>6.5000000000000002E-2</v>
      </c>
      <c r="I2" s="45">
        <v>780</v>
      </c>
      <c r="J2" s="45">
        <v>130</v>
      </c>
      <c r="K2" s="46">
        <v>3.2</v>
      </c>
      <c r="L2" s="44">
        <v>21</v>
      </c>
      <c r="M2" s="44">
        <v>61</v>
      </c>
      <c r="N2" s="22"/>
      <c r="O2" s="1"/>
      <c r="P2" s="36"/>
      <c r="R2" s="66"/>
      <c r="S2" s="66"/>
      <c r="T2" s="8"/>
      <c r="W2" s="5"/>
      <c r="X2" s="6"/>
      <c r="Y2" s="6"/>
      <c r="Z2" s="6"/>
      <c r="AA2" s="6"/>
      <c r="AB2" s="12"/>
      <c r="AC2" s="5"/>
      <c r="AD2" s="7"/>
      <c r="AE2" s="5"/>
      <c r="AF2" s="5"/>
    </row>
    <row r="3" spans="1:32">
      <c r="A3" s="4">
        <f>A2+1</f>
        <v>2</v>
      </c>
      <c r="B3" s="25">
        <v>4.5199999999999996</v>
      </c>
      <c r="C3" s="25">
        <v>0.4</v>
      </c>
      <c r="D3" s="25">
        <v>5.85</v>
      </c>
      <c r="E3" s="25">
        <v>12.2</v>
      </c>
      <c r="F3" s="63">
        <v>6.25E-2</v>
      </c>
      <c r="G3" s="44">
        <v>2.2000000000000002</v>
      </c>
      <c r="H3" s="44">
        <v>6.5000000000000002E-2</v>
      </c>
      <c r="I3" s="45">
        <v>780</v>
      </c>
      <c r="J3" s="45">
        <v>130</v>
      </c>
      <c r="K3" s="46">
        <v>3.2</v>
      </c>
      <c r="L3" s="44">
        <v>21</v>
      </c>
      <c r="M3" s="44">
        <v>61</v>
      </c>
      <c r="N3" s="22"/>
      <c r="O3" s="1"/>
      <c r="P3" s="36"/>
      <c r="R3" s="66"/>
      <c r="S3" s="66"/>
      <c r="T3" s="8"/>
      <c r="V3" s="1"/>
      <c r="W3" s="5"/>
      <c r="X3" s="6"/>
      <c r="Y3" s="6"/>
      <c r="Z3" s="6"/>
      <c r="AA3" s="6"/>
      <c r="AB3" s="12"/>
      <c r="AC3" s="5"/>
      <c r="AD3" s="7"/>
      <c r="AE3" s="5"/>
      <c r="AF3" s="5"/>
    </row>
    <row r="4" spans="1:32">
      <c r="A4" s="4">
        <f>A3+1</f>
        <v>3</v>
      </c>
      <c r="B4" s="25">
        <v>0.9</v>
      </c>
      <c r="C4" s="25">
        <v>0.4</v>
      </c>
      <c r="D4" s="25">
        <v>7.53</v>
      </c>
      <c r="E4" s="25">
        <v>15.31</v>
      </c>
      <c r="F4" s="63">
        <v>6.4100000000000004E-2</v>
      </c>
      <c r="G4" s="44">
        <v>2.2000000000000002</v>
      </c>
      <c r="H4" s="44">
        <v>6.5000000000000002E-2</v>
      </c>
      <c r="I4" s="45">
        <v>780</v>
      </c>
      <c r="J4" s="45">
        <v>130</v>
      </c>
      <c r="K4" s="46">
        <v>3.2</v>
      </c>
      <c r="L4" s="44">
        <v>21</v>
      </c>
      <c r="M4" s="44">
        <v>61</v>
      </c>
      <c r="N4" s="22"/>
      <c r="O4" s="1"/>
      <c r="P4" s="36"/>
      <c r="R4" s="66"/>
      <c r="S4" s="66"/>
      <c r="T4" s="8"/>
      <c r="V4" s="1"/>
      <c r="W4" s="5"/>
      <c r="X4" s="6"/>
      <c r="Y4" s="6"/>
      <c r="Z4" s="6"/>
      <c r="AA4" s="6"/>
      <c r="AB4" s="12"/>
      <c r="AC4" s="5"/>
      <c r="AD4" s="7"/>
      <c r="AE4" s="5"/>
      <c r="AF4" s="5"/>
    </row>
    <row r="5" spans="1:32">
      <c r="A5" s="4">
        <f>A4+1</f>
        <v>4</v>
      </c>
      <c r="B5" s="25">
        <v>0.78</v>
      </c>
      <c r="C5" s="25">
        <v>0.4</v>
      </c>
      <c r="D5" s="25">
        <v>10.73</v>
      </c>
      <c r="E5" s="25">
        <v>20.53</v>
      </c>
      <c r="F5" s="63">
        <v>7.0000000000000007E-2</v>
      </c>
      <c r="G5" s="44">
        <v>2.2000000000000002</v>
      </c>
      <c r="H5" s="44">
        <v>6.5000000000000002E-2</v>
      </c>
      <c r="I5" s="45">
        <v>780</v>
      </c>
      <c r="J5" s="45">
        <v>130</v>
      </c>
      <c r="K5" s="46">
        <v>3.2</v>
      </c>
      <c r="L5" s="44">
        <v>21</v>
      </c>
      <c r="M5" s="44">
        <v>61</v>
      </c>
      <c r="N5" s="22"/>
      <c r="O5" s="1"/>
      <c r="P5" s="36"/>
      <c r="R5" s="66"/>
      <c r="S5" s="66"/>
      <c r="T5" s="8"/>
      <c r="V5" s="1"/>
      <c r="W5" s="5"/>
      <c r="X5" s="6"/>
      <c r="Y5" s="6"/>
      <c r="Z5" s="6"/>
      <c r="AA5" s="6"/>
      <c r="AB5" s="12"/>
      <c r="AC5" s="5"/>
      <c r="AD5" s="7"/>
      <c r="AE5" s="5"/>
      <c r="AF5" s="5"/>
    </row>
    <row r="6" spans="1:32">
      <c r="A6" s="4">
        <f t="shared" ref="A6:A62" si="0">A5+1</f>
        <v>5</v>
      </c>
      <c r="B6" s="25">
        <v>0.52</v>
      </c>
      <c r="C6" s="25">
        <v>0.255</v>
      </c>
      <c r="D6" s="25">
        <v>7.38</v>
      </c>
      <c r="E6" s="25">
        <v>5.93</v>
      </c>
      <c r="F6" s="63">
        <v>0.15430733031674213</v>
      </c>
      <c r="G6" s="44">
        <v>2.2000000000000002</v>
      </c>
      <c r="H6" s="44">
        <v>6.5000000000000002E-2</v>
      </c>
      <c r="I6" s="45">
        <v>780</v>
      </c>
      <c r="J6" s="45">
        <v>130</v>
      </c>
      <c r="K6" s="46">
        <v>3.2</v>
      </c>
      <c r="L6" s="44">
        <v>21</v>
      </c>
      <c r="M6" s="44">
        <v>61</v>
      </c>
      <c r="N6" s="22"/>
      <c r="O6" s="1"/>
      <c r="P6" s="36"/>
      <c r="R6" s="66"/>
      <c r="S6" s="66"/>
      <c r="T6" s="8"/>
      <c r="V6" s="1"/>
      <c r="W6" s="5"/>
      <c r="X6" s="6"/>
      <c r="Y6" s="6"/>
      <c r="Z6" s="6"/>
      <c r="AA6" s="6"/>
      <c r="AB6" s="12"/>
      <c r="AC6" s="5"/>
      <c r="AD6" s="7"/>
      <c r="AE6" s="5"/>
      <c r="AF6" s="5"/>
    </row>
    <row r="7" spans="1:32">
      <c r="A7" s="4">
        <f t="shared" si="0"/>
        <v>6</v>
      </c>
      <c r="B7" s="25">
        <v>0.63</v>
      </c>
      <c r="C7" s="25">
        <v>0.255</v>
      </c>
      <c r="D7" s="25">
        <v>8.24</v>
      </c>
      <c r="E7" s="25">
        <v>7.49</v>
      </c>
      <c r="F7" s="63">
        <v>8.6445228758169929E-2</v>
      </c>
      <c r="G7" s="44">
        <v>2.2000000000000002</v>
      </c>
      <c r="H7" s="44">
        <v>6.5000000000000002E-2</v>
      </c>
      <c r="I7" s="45">
        <v>780</v>
      </c>
      <c r="J7" s="45">
        <v>130</v>
      </c>
      <c r="K7" s="46">
        <v>3.2</v>
      </c>
      <c r="L7" s="44">
        <v>21</v>
      </c>
      <c r="M7" s="44">
        <v>61</v>
      </c>
      <c r="N7" s="22"/>
      <c r="O7" s="1"/>
      <c r="P7" s="36"/>
      <c r="R7" s="66"/>
      <c r="S7" s="66"/>
      <c r="T7" s="8"/>
      <c r="V7" s="1"/>
      <c r="W7" s="5"/>
      <c r="X7" s="6"/>
      <c r="Y7" s="6"/>
      <c r="Z7" s="6"/>
      <c r="AA7" s="6"/>
      <c r="AB7" s="12"/>
      <c r="AC7" s="5"/>
      <c r="AD7" s="7"/>
      <c r="AE7" s="5"/>
      <c r="AF7" s="5"/>
    </row>
    <row r="8" spans="1:32">
      <c r="A8" s="4">
        <f t="shared" si="0"/>
        <v>7</v>
      </c>
      <c r="B8" s="25">
        <v>2.62</v>
      </c>
      <c r="C8" s="25">
        <v>0.255</v>
      </c>
      <c r="D8" s="25">
        <v>9.43</v>
      </c>
      <c r="E8" s="25">
        <v>9.66</v>
      </c>
      <c r="F8" s="63">
        <v>8.6044592126927111E-2</v>
      </c>
      <c r="G8" s="44">
        <v>2.2000000000000002</v>
      </c>
      <c r="H8" s="44">
        <v>6.5000000000000002E-2</v>
      </c>
      <c r="I8" s="45">
        <v>780</v>
      </c>
      <c r="J8" s="45">
        <v>130</v>
      </c>
      <c r="K8" s="46">
        <v>3.2</v>
      </c>
      <c r="L8" s="44">
        <v>21</v>
      </c>
      <c r="M8" s="44">
        <v>61</v>
      </c>
      <c r="N8" s="22"/>
      <c r="O8" s="1"/>
      <c r="P8" s="36"/>
      <c r="R8" s="66"/>
      <c r="S8" s="66"/>
      <c r="T8" s="8"/>
      <c r="V8" s="1"/>
      <c r="W8" s="5"/>
      <c r="X8" s="6"/>
      <c r="Y8" s="6"/>
      <c r="Z8" s="6"/>
      <c r="AA8" s="6"/>
      <c r="AB8" s="12"/>
      <c r="AC8" s="5"/>
      <c r="AD8" s="7"/>
      <c r="AE8" s="5"/>
      <c r="AF8" s="5"/>
    </row>
    <row r="9" spans="1:32">
      <c r="A9" s="4">
        <f t="shared" si="0"/>
        <v>8</v>
      </c>
      <c r="B9" s="25">
        <v>5.0199999999999996</v>
      </c>
      <c r="C9" s="25">
        <v>0.255</v>
      </c>
      <c r="D9" s="25">
        <v>12.4</v>
      </c>
      <c r="E9" s="25">
        <v>15.05</v>
      </c>
      <c r="F9" s="63">
        <v>7.9973470822591958E-2</v>
      </c>
      <c r="G9" s="44">
        <v>2.2000000000000002</v>
      </c>
      <c r="H9" s="44">
        <v>6.5000000000000002E-2</v>
      </c>
      <c r="I9" s="45">
        <v>780</v>
      </c>
      <c r="J9" s="45">
        <v>130</v>
      </c>
      <c r="K9" s="46">
        <v>3.2</v>
      </c>
      <c r="L9" s="44">
        <v>21</v>
      </c>
      <c r="M9" s="44">
        <v>61</v>
      </c>
      <c r="N9" s="22"/>
      <c r="O9" s="1"/>
      <c r="P9" s="36"/>
      <c r="R9" s="66"/>
      <c r="S9" s="66"/>
      <c r="T9" s="8"/>
      <c r="V9" s="1"/>
      <c r="W9" s="5"/>
      <c r="X9" s="6"/>
      <c r="Y9" s="6"/>
      <c r="Z9" s="6"/>
      <c r="AA9" s="6"/>
      <c r="AB9" s="12"/>
      <c r="AC9" s="5"/>
      <c r="AD9" s="7"/>
      <c r="AE9" s="5"/>
      <c r="AF9" s="5"/>
    </row>
    <row r="10" spans="1:32">
      <c r="A10" s="4">
        <f t="shared" si="0"/>
        <v>9</v>
      </c>
      <c r="B10" s="25">
        <v>0.69</v>
      </c>
      <c r="C10" s="25">
        <v>0.255</v>
      </c>
      <c r="D10" s="25">
        <v>14.29</v>
      </c>
      <c r="E10" s="25">
        <v>18.489999999999998</v>
      </c>
      <c r="F10" s="63">
        <v>0.15884384200056834</v>
      </c>
      <c r="G10" s="44">
        <v>2.2000000000000002</v>
      </c>
      <c r="H10" s="44">
        <v>6.5000000000000002E-2</v>
      </c>
      <c r="I10" s="45">
        <v>780</v>
      </c>
      <c r="J10" s="45">
        <v>130</v>
      </c>
      <c r="K10" s="46">
        <v>3.2</v>
      </c>
      <c r="L10" s="44">
        <v>21</v>
      </c>
      <c r="M10" s="44">
        <v>61</v>
      </c>
      <c r="N10" s="22"/>
      <c r="O10" s="1"/>
      <c r="P10" s="36"/>
      <c r="R10" s="66"/>
      <c r="S10" s="66"/>
      <c r="T10" s="8"/>
      <c r="V10" s="1"/>
      <c r="W10" s="5"/>
      <c r="X10" s="6"/>
      <c r="Y10" s="6"/>
      <c r="Z10" s="6"/>
      <c r="AA10" s="6"/>
      <c r="AB10" s="12"/>
      <c r="AC10" s="5"/>
      <c r="AD10" s="7"/>
      <c r="AE10" s="5"/>
      <c r="AF10" s="5"/>
    </row>
    <row r="11" spans="1:32">
      <c r="A11" s="4">
        <f t="shared" si="0"/>
        <v>10</v>
      </c>
      <c r="B11" s="25">
        <v>4.8499999999999996</v>
      </c>
      <c r="C11" s="25">
        <v>0.125</v>
      </c>
      <c r="D11" s="25">
        <v>12.19</v>
      </c>
      <c r="E11" s="25">
        <v>5.37</v>
      </c>
      <c r="F11" s="63">
        <v>5.4199999999999998E-2</v>
      </c>
      <c r="G11" s="44">
        <v>2.2000000000000002</v>
      </c>
      <c r="H11" s="44">
        <v>6.5000000000000002E-2</v>
      </c>
      <c r="I11" s="45">
        <v>780</v>
      </c>
      <c r="J11" s="45">
        <v>130</v>
      </c>
      <c r="K11" s="46">
        <v>3.2</v>
      </c>
      <c r="L11" s="44">
        <v>21</v>
      </c>
      <c r="M11" s="44">
        <v>61</v>
      </c>
      <c r="N11" s="22"/>
      <c r="O11" s="1"/>
      <c r="P11" s="36"/>
      <c r="R11" s="66"/>
      <c r="S11" s="66"/>
      <c r="T11" s="8"/>
      <c r="V11" s="1"/>
      <c r="W11" s="5"/>
      <c r="X11" s="6"/>
      <c r="Y11" s="6"/>
      <c r="Z11" s="6"/>
      <c r="AA11" s="6"/>
      <c r="AB11" s="12"/>
      <c r="AC11" s="5"/>
      <c r="AD11" s="7"/>
      <c r="AE11" s="5"/>
      <c r="AF11" s="5"/>
    </row>
    <row r="12" spans="1:32">
      <c r="A12" s="4">
        <f t="shared" si="0"/>
        <v>11</v>
      </c>
      <c r="B12" s="25">
        <v>4.3499999999999996</v>
      </c>
      <c r="C12" s="25">
        <v>0.125</v>
      </c>
      <c r="D12" s="25">
        <v>17.27</v>
      </c>
      <c r="E12" s="25">
        <v>14.89</v>
      </c>
      <c r="F12" s="63">
        <v>5.4199999999999998E-2</v>
      </c>
      <c r="G12" s="44">
        <v>2.2000000000000002</v>
      </c>
      <c r="H12" s="44">
        <v>6.5000000000000002E-2</v>
      </c>
      <c r="I12" s="45">
        <v>780</v>
      </c>
      <c r="J12" s="45">
        <v>130</v>
      </c>
      <c r="K12" s="46">
        <v>3.2</v>
      </c>
      <c r="L12" s="44">
        <v>21</v>
      </c>
      <c r="M12" s="44">
        <v>61</v>
      </c>
      <c r="N12" s="22"/>
      <c r="O12" s="1"/>
      <c r="P12" s="36"/>
      <c r="R12" s="66"/>
      <c r="S12" s="66"/>
      <c r="T12" s="8"/>
      <c r="V12" s="1"/>
      <c r="W12" s="5"/>
      <c r="X12" s="6"/>
      <c r="Y12" s="6"/>
      <c r="Z12" s="6"/>
      <c r="AA12" s="6"/>
      <c r="AB12" s="12"/>
      <c r="AC12" s="5"/>
      <c r="AD12" s="7"/>
      <c r="AE12" s="5"/>
      <c r="AF12" s="5"/>
    </row>
    <row r="13" spans="1:32">
      <c r="A13" s="4">
        <f t="shared" si="0"/>
        <v>12</v>
      </c>
      <c r="B13" s="25">
        <v>2.59</v>
      </c>
      <c r="C13" s="25">
        <v>0.45499999999999996</v>
      </c>
      <c r="D13" s="25">
        <v>4.33</v>
      </c>
      <c r="E13" s="25">
        <v>7.04</v>
      </c>
      <c r="F13" s="57">
        <v>4.8397802197802202E-2</v>
      </c>
      <c r="G13" s="44">
        <v>2.2000000000000002</v>
      </c>
      <c r="H13" s="44">
        <v>6.5000000000000002E-2</v>
      </c>
      <c r="I13" s="45">
        <v>780</v>
      </c>
      <c r="J13" s="45">
        <v>130</v>
      </c>
      <c r="K13" s="46">
        <v>3.2</v>
      </c>
      <c r="L13" s="44">
        <v>21</v>
      </c>
      <c r="M13" s="44">
        <v>148</v>
      </c>
      <c r="N13" s="22"/>
      <c r="O13" s="1"/>
      <c r="P13" s="36"/>
      <c r="R13" s="66"/>
      <c r="S13" s="66"/>
      <c r="T13" s="8"/>
      <c r="V13" s="1"/>
      <c r="W13" s="5"/>
      <c r="X13" s="6"/>
      <c r="Y13" s="6"/>
      <c r="Z13" s="6"/>
      <c r="AA13" s="6"/>
      <c r="AB13" s="12"/>
      <c r="AC13" s="5"/>
      <c r="AD13" s="7"/>
      <c r="AE13" s="5"/>
      <c r="AF13" s="5"/>
    </row>
    <row r="14" spans="1:32">
      <c r="A14" s="4">
        <f t="shared" si="0"/>
        <v>13</v>
      </c>
      <c r="B14" s="25">
        <v>2.29</v>
      </c>
      <c r="C14" s="25">
        <v>0.45499999999999996</v>
      </c>
      <c r="D14" s="25">
        <v>7.52</v>
      </c>
      <c r="E14" s="25">
        <v>5.0599999999999996</v>
      </c>
      <c r="F14" s="57">
        <v>4.8397802197802202E-2</v>
      </c>
      <c r="G14" s="44">
        <v>2.2000000000000002</v>
      </c>
      <c r="H14" s="44">
        <v>6.5000000000000002E-2</v>
      </c>
      <c r="I14" s="45">
        <v>780</v>
      </c>
      <c r="J14" s="45">
        <v>130</v>
      </c>
      <c r="K14" s="46">
        <v>3.2</v>
      </c>
      <c r="L14" s="44">
        <v>21</v>
      </c>
      <c r="M14" s="44">
        <v>148</v>
      </c>
      <c r="N14" s="22"/>
      <c r="O14" s="1"/>
      <c r="P14" s="36"/>
      <c r="R14" s="66"/>
      <c r="S14" s="66"/>
      <c r="T14" s="8"/>
      <c r="V14" s="1"/>
      <c r="W14" s="5"/>
      <c r="X14" s="6"/>
      <c r="Y14" s="6"/>
      <c r="Z14" s="6"/>
      <c r="AA14" s="6"/>
      <c r="AB14" s="12"/>
      <c r="AC14" s="5"/>
      <c r="AD14" s="7"/>
      <c r="AE14" s="5"/>
      <c r="AF14" s="5"/>
    </row>
    <row r="15" spans="1:32">
      <c r="A15" s="4">
        <f t="shared" si="0"/>
        <v>14</v>
      </c>
      <c r="B15" s="25">
        <v>2.27</v>
      </c>
      <c r="C15" s="25">
        <v>0.45499999999999996</v>
      </c>
      <c r="D15" s="25">
        <v>10.55</v>
      </c>
      <c r="E15" s="25">
        <v>3.17</v>
      </c>
      <c r="F15" s="57">
        <v>4.8397802197802202E-2</v>
      </c>
      <c r="G15" s="44">
        <v>2.2000000000000002</v>
      </c>
      <c r="H15" s="44">
        <v>6.5000000000000002E-2</v>
      </c>
      <c r="I15" s="45">
        <v>780</v>
      </c>
      <c r="J15" s="45">
        <v>130</v>
      </c>
      <c r="K15" s="46">
        <v>3.2</v>
      </c>
      <c r="L15" s="44">
        <v>21</v>
      </c>
      <c r="M15" s="44">
        <v>148</v>
      </c>
      <c r="N15" s="22"/>
      <c r="O15" s="1"/>
      <c r="P15" s="36"/>
      <c r="R15" s="66"/>
      <c r="S15" s="66"/>
      <c r="T15" s="8"/>
      <c r="V15" s="1"/>
      <c r="W15" s="5"/>
      <c r="X15" s="6"/>
      <c r="Y15" s="6"/>
      <c r="Z15" s="6"/>
      <c r="AA15" s="6"/>
      <c r="AB15" s="12"/>
      <c r="AC15" s="5"/>
      <c r="AD15" s="7"/>
      <c r="AE15" s="5"/>
      <c r="AF15" s="5"/>
    </row>
    <row r="16" spans="1:32">
      <c r="A16" s="4">
        <f t="shared" si="0"/>
        <v>15</v>
      </c>
      <c r="B16" s="25">
        <v>2.4500000000000002</v>
      </c>
      <c r="C16" s="25">
        <v>0.45499999999999996</v>
      </c>
      <c r="D16" s="25">
        <v>13.67</v>
      </c>
      <c r="E16" s="25">
        <v>1.24</v>
      </c>
      <c r="F16" s="57">
        <v>4.8397802197802202E-2</v>
      </c>
      <c r="G16" s="44">
        <v>2.2000000000000002</v>
      </c>
      <c r="H16" s="44">
        <v>6.5000000000000002E-2</v>
      </c>
      <c r="I16" s="45">
        <v>780</v>
      </c>
      <c r="J16" s="45">
        <v>130</v>
      </c>
      <c r="K16" s="46">
        <v>3.2</v>
      </c>
      <c r="L16" s="44">
        <v>21</v>
      </c>
      <c r="M16" s="44">
        <v>148</v>
      </c>
      <c r="N16" s="22"/>
      <c r="O16" s="1"/>
      <c r="P16" s="36"/>
      <c r="R16" s="66"/>
      <c r="S16" s="66"/>
      <c r="T16" s="8"/>
      <c r="V16" s="1"/>
      <c r="W16" s="5"/>
      <c r="X16" s="6"/>
      <c r="Y16" s="6"/>
      <c r="Z16" s="6"/>
      <c r="AA16" s="6"/>
      <c r="AB16" s="12"/>
      <c r="AC16" s="5"/>
      <c r="AD16" s="7"/>
      <c r="AE16" s="5"/>
      <c r="AF16" s="5"/>
    </row>
    <row r="17" spans="1:32">
      <c r="A17" s="4">
        <f t="shared" si="0"/>
        <v>16</v>
      </c>
      <c r="B17" s="25">
        <v>1.7</v>
      </c>
      <c r="C17" s="25">
        <v>0.77500000000000002</v>
      </c>
      <c r="D17" s="25">
        <v>16.53</v>
      </c>
      <c r="E17" s="25">
        <v>7.5</v>
      </c>
      <c r="F17" s="57">
        <v>4.7490322580645158E-2</v>
      </c>
      <c r="G17" s="44">
        <v>2.2000000000000002</v>
      </c>
      <c r="H17" s="44">
        <v>6.5000000000000002E-2</v>
      </c>
      <c r="I17" s="45">
        <v>780</v>
      </c>
      <c r="J17" s="45">
        <v>130</v>
      </c>
      <c r="K17" s="46">
        <v>3.2</v>
      </c>
      <c r="L17" s="44">
        <v>21</v>
      </c>
      <c r="M17" s="44">
        <v>61</v>
      </c>
      <c r="N17" s="22"/>
      <c r="O17" s="1"/>
      <c r="P17" s="36"/>
      <c r="R17" s="66"/>
      <c r="S17" s="66"/>
      <c r="T17" s="8"/>
      <c r="V17" s="1"/>
      <c r="W17" s="5"/>
      <c r="X17" s="6"/>
      <c r="Y17" s="6"/>
      <c r="Z17" s="6"/>
      <c r="AA17" s="6"/>
      <c r="AB17" s="12"/>
      <c r="AC17" s="5"/>
      <c r="AD17" s="7"/>
      <c r="AE17" s="5"/>
      <c r="AF17" s="5"/>
    </row>
    <row r="18" spans="1:32">
      <c r="A18" s="4">
        <f t="shared" si="0"/>
        <v>17</v>
      </c>
      <c r="B18" s="25">
        <v>1.08</v>
      </c>
      <c r="C18" s="25">
        <v>0.77500000000000002</v>
      </c>
      <c r="D18" s="25">
        <v>17.82</v>
      </c>
      <c r="E18" s="25">
        <v>9.74</v>
      </c>
      <c r="F18" s="57">
        <v>4.7490322580645151E-2</v>
      </c>
      <c r="G18" s="44">
        <v>2.2000000000000002</v>
      </c>
      <c r="H18" s="44">
        <v>6.5000000000000002E-2</v>
      </c>
      <c r="I18" s="45">
        <v>780</v>
      </c>
      <c r="J18" s="45">
        <v>130</v>
      </c>
      <c r="K18" s="46">
        <v>3.2</v>
      </c>
      <c r="L18" s="44">
        <v>21</v>
      </c>
      <c r="M18" s="44">
        <v>61</v>
      </c>
      <c r="N18" s="22"/>
      <c r="O18" s="1"/>
      <c r="P18" s="36"/>
      <c r="R18" s="66"/>
      <c r="S18" s="66"/>
      <c r="T18" s="8"/>
      <c r="V18" s="1"/>
      <c r="W18" s="5"/>
      <c r="X18" s="6"/>
      <c r="Y18" s="6"/>
      <c r="Z18" s="6"/>
      <c r="AA18" s="6"/>
      <c r="AB18" s="12"/>
      <c r="AC18" s="5"/>
      <c r="AD18" s="7"/>
      <c r="AE18" s="5"/>
      <c r="AF18" s="5"/>
    </row>
    <row r="19" spans="1:32">
      <c r="A19" s="4">
        <f t="shared" si="0"/>
        <v>18</v>
      </c>
      <c r="B19" s="25">
        <v>0.79</v>
      </c>
      <c r="C19" s="25">
        <v>0.24500000000000002</v>
      </c>
      <c r="D19" s="25">
        <v>14.26</v>
      </c>
      <c r="E19" s="25">
        <v>1.87</v>
      </c>
      <c r="F19" s="57">
        <v>0.19738803409971581</v>
      </c>
      <c r="G19" s="44">
        <v>2.2000000000000002</v>
      </c>
      <c r="H19" s="44">
        <v>6.5000000000000002E-2</v>
      </c>
      <c r="I19" s="45">
        <v>780</v>
      </c>
      <c r="J19" s="45">
        <v>130</v>
      </c>
      <c r="K19" s="46">
        <v>3.2</v>
      </c>
      <c r="L19" s="44">
        <v>21</v>
      </c>
      <c r="M19" s="44">
        <v>61</v>
      </c>
      <c r="N19" s="22"/>
      <c r="O19" s="1"/>
      <c r="P19" s="36"/>
      <c r="R19" s="66"/>
      <c r="S19" s="66"/>
      <c r="T19" s="8"/>
      <c r="V19" s="1"/>
      <c r="W19" s="5"/>
      <c r="X19" s="6"/>
      <c r="Y19" s="6"/>
      <c r="Z19" s="6"/>
      <c r="AA19" s="6"/>
      <c r="AB19" s="12"/>
      <c r="AC19" s="5"/>
      <c r="AD19" s="7"/>
      <c r="AE19" s="5"/>
      <c r="AF19" s="5"/>
    </row>
    <row r="20" spans="1:32" s="34" customFormat="1" ht="15" thickBot="1">
      <c r="A20" s="39">
        <f t="shared" si="0"/>
        <v>19</v>
      </c>
      <c r="B20" s="41">
        <v>2.95</v>
      </c>
      <c r="C20" s="41">
        <v>0.24500000000000002</v>
      </c>
      <c r="D20" s="41">
        <v>16.04</v>
      </c>
      <c r="E20" s="41">
        <v>5.13</v>
      </c>
      <c r="F20" s="58">
        <v>8.8256412314078159E-2</v>
      </c>
      <c r="G20" s="48">
        <v>2.2000000000000002</v>
      </c>
      <c r="H20" s="44">
        <v>6.5000000000000002E-2</v>
      </c>
      <c r="I20" s="49">
        <v>780</v>
      </c>
      <c r="J20" s="49">
        <v>130</v>
      </c>
      <c r="K20" s="46">
        <v>3.2</v>
      </c>
      <c r="L20" s="44">
        <v>21</v>
      </c>
      <c r="M20" s="48">
        <v>61</v>
      </c>
      <c r="N20" s="22"/>
      <c r="O20" s="1"/>
      <c r="P20" s="36"/>
      <c r="Q20"/>
      <c r="R20" s="66"/>
      <c r="S20" s="66"/>
      <c r="T20" s="8"/>
      <c r="U20"/>
      <c r="V20" s="42"/>
      <c r="W20" s="30"/>
      <c r="X20" s="31"/>
      <c r="Y20" s="31"/>
      <c r="Z20" s="31"/>
      <c r="AA20" s="31"/>
      <c r="AB20" s="32"/>
      <c r="AC20" s="30"/>
      <c r="AD20" s="33"/>
      <c r="AE20" s="30"/>
      <c r="AF20" s="30"/>
    </row>
    <row r="21" spans="1:32">
      <c r="A21" s="37">
        <f t="shared" si="0"/>
        <v>20</v>
      </c>
      <c r="B21" s="35">
        <v>3.6</v>
      </c>
      <c r="C21" s="35">
        <v>0.46499999999999997</v>
      </c>
      <c r="D21" s="35">
        <v>20.51</v>
      </c>
      <c r="E21" s="35">
        <v>9.9499999999999993</v>
      </c>
      <c r="F21" s="65">
        <v>4.8350537634408601E-2</v>
      </c>
      <c r="G21" s="51">
        <v>2.2000000000000002</v>
      </c>
      <c r="H21" s="44">
        <v>6.5000000000000002E-2</v>
      </c>
      <c r="I21" s="52">
        <v>780</v>
      </c>
      <c r="J21" s="52">
        <v>130</v>
      </c>
      <c r="K21" s="46">
        <v>3.2</v>
      </c>
      <c r="L21" s="44">
        <v>21</v>
      </c>
      <c r="M21" s="51">
        <v>0</v>
      </c>
      <c r="N21" s="22"/>
      <c r="O21" s="1"/>
      <c r="P21" s="36"/>
      <c r="R21" s="66"/>
      <c r="S21" s="66"/>
      <c r="T21" s="8"/>
      <c r="V21" s="2"/>
      <c r="W21" s="5"/>
      <c r="X21" s="6"/>
      <c r="Y21" s="6"/>
      <c r="Z21" s="6"/>
      <c r="AA21" s="6"/>
      <c r="AB21" s="12"/>
      <c r="AC21" s="5"/>
      <c r="AD21" s="7"/>
      <c r="AE21" s="5"/>
      <c r="AF21" s="5"/>
    </row>
    <row r="22" spans="1:32">
      <c r="A22" s="4">
        <f t="shared" si="0"/>
        <v>21</v>
      </c>
      <c r="B22" s="25">
        <v>0.68</v>
      </c>
      <c r="C22" s="25">
        <v>0.46499999999999997</v>
      </c>
      <c r="D22" s="25">
        <v>16.71</v>
      </c>
      <c r="E22" s="25">
        <v>4.74</v>
      </c>
      <c r="F22" s="63">
        <v>4.8350537634408601E-2</v>
      </c>
      <c r="G22" s="44">
        <v>2.2000000000000002</v>
      </c>
      <c r="H22" s="44">
        <v>6.5000000000000002E-2</v>
      </c>
      <c r="I22" s="45">
        <v>780</v>
      </c>
      <c r="J22" s="45">
        <v>130</v>
      </c>
      <c r="K22" s="46">
        <v>3.2</v>
      </c>
      <c r="L22" s="44">
        <v>21</v>
      </c>
      <c r="M22" s="51">
        <v>0</v>
      </c>
      <c r="N22" s="22"/>
      <c r="O22" s="1"/>
      <c r="P22" s="36"/>
      <c r="R22" s="66"/>
      <c r="S22" s="66"/>
      <c r="T22" s="8"/>
      <c r="V22" s="2"/>
      <c r="W22" s="5"/>
      <c r="X22" s="6"/>
      <c r="Y22" s="6"/>
      <c r="Z22" s="6"/>
      <c r="AA22" s="6"/>
      <c r="AB22" s="12"/>
      <c r="AC22" s="5"/>
      <c r="AD22" s="7"/>
      <c r="AE22" s="5"/>
      <c r="AF22" s="5"/>
    </row>
    <row r="23" spans="1:32">
      <c r="A23" s="4">
        <f t="shared" si="0"/>
        <v>22</v>
      </c>
      <c r="B23" s="25">
        <v>3.38</v>
      </c>
      <c r="C23" s="25">
        <v>0.46499999999999997</v>
      </c>
      <c r="D23" s="25">
        <v>20.09</v>
      </c>
      <c r="E23" s="25">
        <v>4.51</v>
      </c>
      <c r="F23" s="63">
        <v>4.8350537634408601E-2</v>
      </c>
      <c r="G23" s="44">
        <v>2.2000000000000002</v>
      </c>
      <c r="H23" s="44">
        <v>6.5000000000000002E-2</v>
      </c>
      <c r="I23" s="45">
        <v>780</v>
      </c>
      <c r="J23" s="45">
        <v>130</v>
      </c>
      <c r="K23" s="46">
        <v>3.2</v>
      </c>
      <c r="L23" s="44">
        <v>21</v>
      </c>
      <c r="M23" s="51">
        <v>0</v>
      </c>
      <c r="N23" s="22"/>
      <c r="O23" s="1"/>
      <c r="P23" s="36"/>
      <c r="R23" s="66"/>
      <c r="S23" s="66"/>
      <c r="T23" s="8"/>
      <c r="V23" s="2"/>
      <c r="W23" s="5"/>
      <c r="X23" s="6"/>
      <c r="Y23" s="6"/>
      <c r="Z23" s="6"/>
      <c r="AA23" s="6"/>
      <c r="AB23" s="12"/>
      <c r="AC23" s="5"/>
      <c r="AD23" s="7"/>
      <c r="AE23" s="5"/>
      <c r="AF23" s="5"/>
    </row>
    <row r="24" spans="1:32">
      <c r="A24" s="4">
        <f t="shared" si="0"/>
        <v>23</v>
      </c>
      <c r="B24" s="25">
        <v>1.22</v>
      </c>
      <c r="C24" s="25">
        <v>0.57999999999999996</v>
      </c>
      <c r="D24" s="25">
        <v>23.23</v>
      </c>
      <c r="E24" s="25">
        <v>0.93</v>
      </c>
      <c r="F24" s="63">
        <v>8.5099999999999995E-2</v>
      </c>
      <c r="G24" s="44">
        <v>2.2000000000000002</v>
      </c>
      <c r="H24" s="44">
        <v>6.5000000000000002E-2</v>
      </c>
      <c r="I24" s="45">
        <v>780</v>
      </c>
      <c r="J24" s="45">
        <v>130</v>
      </c>
      <c r="K24" s="46">
        <v>3.2</v>
      </c>
      <c r="L24" s="44">
        <v>21</v>
      </c>
      <c r="M24" s="44">
        <v>85</v>
      </c>
      <c r="N24" s="22"/>
      <c r="O24" s="1"/>
      <c r="P24" s="36"/>
      <c r="R24" s="66"/>
      <c r="S24" s="66"/>
      <c r="T24" s="8"/>
      <c r="V24" s="2"/>
      <c r="W24" s="5"/>
      <c r="X24" s="6"/>
      <c r="Y24" s="6"/>
      <c r="Z24" s="6"/>
      <c r="AA24" s="6"/>
      <c r="AB24" s="12"/>
      <c r="AC24" s="5"/>
      <c r="AD24" s="7"/>
      <c r="AE24" s="5"/>
      <c r="AF24" s="5"/>
    </row>
    <row r="25" spans="1:32">
      <c r="A25" s="4">
        <f t="shared" si="0"/>
        <v>24</v>
      </c>
      <c r="B25" s="25">
        <v>1.68</v>
      </c>
      <c r="C25" s="25">
        <v>0.57999999999999996</v>
      </c>
      <c r="D25" s="25">
        <v>23.46</v>
      </c>
      <c r="E25" s="25">
        <v>3.67</v>
      </c>
      <c r="F25" s="63">
        <v>7.1599999999999997E-2</v>
      </c>
      <c r="G25" s="44">
        <v>2.2000000000000002</v>
      </c>
      <c r="H25" s="44">
        <v>6.5000000000000002E-2</v>
      </c>
      <c r="I25" s="45">
        <v>780</v>
      </c>
      <c r="J25" s="45">
        <v>130</v>
      </c>
      <c r="K25" s="46">
        <v>3.2</v>
      </c>
      <c r="L25" s="44">
        <v>21</v>
      </c>
      <c r="M25" s="44">
        <v>85</v>
      </c>
      <c r="N25" s="22"/>
      <c r="O25" s="1"/>
      <c r="P25" s="36"/>
      <c r="R25" s="66"/>
      <c r="S25" s="66"/>
      <c r="T25" s="8"/>
      <c r="V25" s="2"/>
      <c r="W25" s="5"/>
      <c r="X25" s="6"/>
      <c r="Y25" s="6"/>
      <c r="Z25" s="6"/>
      <c r="AA25" s="6"/>
      <c r="AB25" s="12"/>
      <c r="AC25" s="5"/>
      <c r="AD25" s="7"/>
      <c r="AE25" s="5"/>
      <c r="AF25" s="5"/>
    </row>
    <row r="26" spans="1:32">
      <c r="A26" s="4">
        <f t="shared" si="0"/>
        <v>25</v>
      </c>
      <c r="B26" s="25">
        <v>1.9</v>
      </c>
      <c r="C26" s="25">
        <v>0.57999999999999996</v>
      </c>
      <c r="D26" s="25">
        <v>24.02</v>
      </c>
      <c r="E26" s="25">
        <v>10.41</v>
      </c>
      <c r="F26" s="63">
        <v>5.9500000000000004E-2</v>
      </c>
      <c r="G26" s="44">
        <v>2.2000000000000002</v>
      </c>
      <c r="H26" s="44">
        <v>6.5000000000000002E-2</v>
      </c>
      <c r="I26" s="45">
        <v>780</v>
      </c>
      <c r="J26" s="45">
        <v>130</v>
      </c>
      <c r="K26" s="46">
        <v>3.2</v>
      </c>
      <c r="L26" s="44">
        <v>21</v>
      </c>
      <c r="M26" s="44">
        <v>85</v>
      </c>
      <c r="N26" s="22"/>
      <c r="O26" s="1"/>
      <c r="P26" s="36"/>
      <c r="R26" s="66"/>
      <c r="S26" s="66"/>
      <c r="T26" s="8"/>
      <c r="V26" s="2"/>
      <c r="W26" s="5"/>
      <c r="X26" s="6"/>
      <c r="Y26" s="6"/>
      <c r="Z26" s="6"/>
      <c r="AA26" s="6"/>
      <c r="AB26" s="12"/>
      <c r="AC26" s="5"/>
      <c r="AD26" s="7"/>
      <c r="AE26" s="5"/>
      <c r="AF26" s="5"/>
    </row>
    <row r="27" spans="1:32">
      <c r="A27" s="4">
        <f t="shared" si="0"/>
        <v>26</v>
      </c>
      <c r="B27" s="25">
        <v>0.9</v>
      </c>
      <c r="C27" s="25">
        <v>0.57999999999999996</v>
      </c>
      <c r="D27" s="25">
        <v>24.31</v>
      </c>
      <c r="E27" s="25">
        <v>13.94</v>
      </c>
      <c r="F27" s="63">
        <v>7.8399999999999997E-2</v>
      </c>
      <c r="G27" s="44">
        <v>2.2000000000000002</v>
      </c>
      <c r="H27" s="44">
        <v>6.5000000000000002E-2</v>
      </c>
      <c r="I27" s="45">
        <v>780</v>
      </c>
      <c r="J27" s="45">
        <v>130</v>
      </c>
      <c r="K27" s="46">
        <v>3.2</v>
      </c>
      <c r="L27" s="44">
        <v>21</v>
      </c>
      <c r="M27" s="44">
        <v>85</v>
      </c>
      <c r="N27" s="22"/>
      <c r="O27" s="1"/>
      <c r="P27" s="36"/>
      <c r="R27" s="66"/>
      <c r="S27" s="66"/>
      <c r="T27" s="8"/>
      <c r="V27" s="2"/>
      <c r="W27" s="5"/>
      <c r="X27" s="6"/>
      <c r="Y27" s="6"/>
      <c r="Z27" s="6"/>
      <c r="AA27" s="6"/>
      <c r="AB27" s="12"/>
      <c r="AC27" s="5"/>
      <c r="AD27" s="7"/>
      <c r="AE27" s="5"/>
      <c r="AF27" s="5"/>
    </row>
    <row r="28" spans="1:32">
      <c r="A28" s="4">
        <f t="shared" si="0"/>
        <v>27</v>
      </c>
      <c r="B28" s="25">
        <v>0.91</v>
      </c>
      <c r="C28" s="25">
        <v>0.41499999999999998</v>
      </c>
      <c r="D28" s="25">
        <v>32.42</v>
      </c>
      <c r="E28" s="25">
        <v>0.77</v>
      </c>
      <c r="F28" s="63">
        <v>9.2612974976830409E-2</v>
      </c>
      <c r="G28" s="44">
        <v>2.2000000000000002</v>
      </c>
      <c r="H28" s="44">
        <v>6.5000000000000002E-2</v>
      </c>
      <c r="I28" s="45">
        <v>780</v>
      </c>
      <c r="J28" s="45">
        <v>130</v>
      </c>
      <c r="K28" s="46">
        <v>3.2</v>
      </c>
      <c r="L28" s="44">
        <v>21</v>
      </c>
      <c r="M28" s="44">
        <v>85</v>
      </c>
      <c r="N28" s="22"/>
      <c r="O28" s="1"/>
      <c r="P28" s="36"/>
      <c r="R28" s="66"/>
      <c r="S28" s="66"/>
      <c r="T28" s="8"/>
      <c r="V28" s="2"/>
      <c r="W28" s="5"/>
      <c r="X28" s="6"/>
      <c r="Y28" s="6"/>
      <c r="Z28" s="6"/>
      <c r="AA28" s="6"/>
      <c r="AB28" s="12"/>
      <c r="AC28" s="5"/>
      <c r="AD28" s="7"/>
      <c r="AE28" s="5"/>
      <c r="AF28" s="5"/>
    </row>
    <row r="29" spans="1:32">
      <c r="A29" s="4">
        <f t="shared" si="0"/>
        <v>28</v>
      </c>
      <c r="B29" s="25">
        <v>2.2599999999999998</v>
      </c>
      <c r="C29" s="25">
        <v>0.41499999999999998</v>
      </c>
      <c r="D29" s="25">
        <v>32.69</v>
      </c>
      <c r="E29" s="25">
        <v>3.85</v>
      </c>
      <c r="F29" s="63">
        <v>7.277818530760212E-2</v>
      </c>
      <c r="G29" s="44">
        <v>2.2000000000000002</v>
      </c>
      <c r="H29" s="44">
        <v>6.5000000000000002E-2</v>
      </c>
      <c r="I29" s="45">
        <v>780</v>
      </c>
      <c r="J29" s="45">
        <v>130</v>
      </c>
      <c r="K29" s="46">
        <v>3.2</v>
      </c>
      <c r="L29" s="44">
        <v>21</v>
      </c>
      <c r="M29" s="44">
        <v>85</v>
      </c>
      <c r="N29" s="22"/>
      <c r="O29" s="1"/>
      <c r="P29" s="36"/>
      <c r="R29" s="66"/>
      <c r="S29" s="66"/>
      <c r="T29" s="8"/>
      <c r="V29" s="2"/>
      <c r="W29" s="5"/>
      <c r="X29" s="6"/>
      <c r="Y29" s="6"/>
      <c r="Z29" s="6"/>
      <c r="AA29" s="6"/>
      <c r="AB29" s="12"/>
      <c r="AC29" s="5"/>
      <c r="AD29" s="7"/>
      <c r="AE29" s="5"/>
      <c r="AF29" s="5"/>
    </row>
    <row r="30" spans="1:32">
      <c r="A30" s="4">
        <f t="shared" si="0"/>
        <v>29</v>
      </c>
      <c r="B30" s="25">
        <v>1.1100000000000001</v>
      </c>
      <c r="C30" s="25">
        <v>0.41499999999999998</v>
      </c>
      <c r="D30" s="25">
        <v>32.89</v>
      </c>
      <c r="E30" s="25">
        <v>6.42</v>
      </c>
      <c r="F30" s="63">
        <v>7.2881167914902872E-2</v>
      </c>
      <c r="G30" s="44">
        <v>2.2000000000000002</v>
      </c>
      <c r="H30" s="44">
        <v>6.5000000000000002E-2</v>
      </c>
      <c r="I30" s="45">
        <v>780</v>
      </c>
      <c r="J30" s="45">
        <v>130</v>
      </c>
      <c r="K30" s="46">
        <v>3.2</v>
      </c>
      <c r="L30" s="44">
        <v>21</v>
      </c>
      <c r="M30" s="44">
        <v>85</v>
      </c>
      <c r="N30" s="22"/>
      <c r="O30" s="1"/>
      <c r="P30" s="36"/>
      <c r="R30" s="66"/>
      <c r="S30" s="66"/>
      <c r="T30" s="8"/>
      <c r="V30" s="2"/>
      <c r="W30" s="5"/>
      <c r="X30" s="6"/>
      <c r="Y30" s="6"/>
      <c r="Z30" s="6"/>
      <c r="AA30" s="6"/>
      <c r="AB30" s="12"/>
      <c r="AC30" s="5"/>
      <c r="AD30" s="7"/>
      <c r="AE30" s="5"/>
      <c r="AF30" s="5"/>
    </row>
    <row r="31" spans="1:32">
      <c r="A31" s="4">
        <f t="shared" si="0"/>
        <v>30</v>
      </c>
      <c r="B31" s="25">
        <v>2.76</v>
      </c>
      <c r="C31" s="25">
        <v>0.41499999999999998</v>
      </c>
      <c r="D31" s="25">
        <v>33.159999999999997</v>
      </c>
      <c r="E31" s="25">
        <v>9.59</v>
      </c>
      <c r="F31" s="63">
        <v>7.5125814562598259E-2</v>
      </c>
      <c r="G31" s="44">
        <v>2.2000000000000002</v>
      </c>
      <c r="H31" s="44">
        <v>6.5000000000000002E-2</v>
      </c>
      <c r="I31" s="45">
        <v>780</v>
      </c>
      <c r="J31" s="45">
        <v>130</v>
      </c>
      <c r="K31" s="46">
        <v>3.2</v>
      </c>
      <c r="L31" s="44">
        <v>21</v>
      </c>
      <c r="M31" s="44">
        <v>85</v>
      </c>
      <c r="N31" s="22"/>
      <c r="O31" s="1"/>
      <c r="P31" s="36"/>
      <c r="R31" s="66"/>
      <c r="S31" s="66"/>
      <c r="T31" s="8"/>
      <c r="V31" s="2"/>
      <c r="W31" s="5"/>
      <c r="X31" s="6"/>
      <c r="Y31" s="6"/>
      <c r="Z31" s="6"/>
      <c r="AA31" s="6"/>
      <c r="AB31" s="12"/>
      <c r="AC31" s="5"/>
      <c r="AD31" s="7"/>
      <c r="AE31" s="5"/>
      <c r="AF31" s="5"/>
    </row>
    <row r="32" spans="1:32">
      <c r="A32" s="4">
        <f t="shared" si="0"/>
        <v>31</v>
      </c>
      <c r="B32" s="25">
        <v>0.95</v>
      </c>
      <c r="C32" s="25">
        <v>0.41499999999999998</v>
      </c>
      <c r="D32" s="25">
        <v>33.56</v>
      </c>
      <c r="E32" s="25">
        <v>14.27</v>
      </c>
      <c r="F32" s="63">
        <v>0.11243763601775524</v>
      </c>
      <c r="G32" s="44">
        <v>2.2000000000000002</v>
      </c>
      <c r="H32" s="44">
        <v>6.5000000000000002E-2</v>
      </c>
      <c r="I32" s="45">
        <v>780</v>
      </c>
      <c r="J32" s="45">
        <v>130</v>
      </c>
      <c r="K32" s="46">
        <v>3.2</v>
      </c>
      <c r="L32" s="44">
        <v>21</v>
      </c>
      <c r="M32" s="44">
        <v>85</v>
      </c>
      <c r="N32" s="22"/>
      <c r="O32" s="1"/>
      <c r="P32" s="36"/>
      <c r="R32" s="66"/>
      <c r="S32" s="66"/>
      <c r="T32" s="8"/>
    </row>
    <row r="33" spans="1:20">
      <c r="A33" s="4">
        <f t="shared" si="0"/>
        <v>32</v>
      </c>
      <c r="B33" s="25">
        <v>1.9</v>
      </c>
      <c r="C33" s="25">
        <v>0.30499999999999999</v>
      </c>
      <c r="D33" s="25">
        <v>36.9</v>
      </c>
      <c r="E33" s="25">
        <v>1.26</v>
      </c>
      <c r="F33" s="63">
        <v>6.0129849870578095E-2</v>
      </c>
      <c r="G33" s="44">
        <v>2.2000000000000002</v>
      </c>
      <c r="H33" s="44">
        <v>6.5000000000000002E-2</v>
      </c>
      <c r="I33" s="45">
        <v>780</v>
      </c>
      <c r="J33" s="45">
        <v>130</v>
      </c>
      <c r="K33" s="46">
        <v>3.2</v>
      </c>
      <c r="L33" s="44">
        <v>21</v>
      </c>
      <c r="M33" s="44">
        <v>85</v>
      </c>
      <c r="N33" s="22"/>
      <c r="O33" s="1"/>
      <c r="P33" s="36"/>
      <c r="R33" s="66"/>
      <c r="S33" s="66"/>
      <c r="T33" s="8"/>
    </row>
    <row r="34" spans="1:20">
      <c r="A34" s="4">
        <f t="shared" si="0"/>
        <v>33</v>
      </c>
      <c r="B34" s="25">
        <v>3.07</v>
      </c>
      <c r="C34" s="25">
        <v>0.30499999999999999</v>
      </c>
      <c r="D34" s="25">
        <v>37.21</v>
      </c>
      <c r="E34" s="25">
        <v>4.97</v>
      </c>
      <c r="F34" s="63">
        <v>6.6735462166924775E-2</v>
      </c>
      <c r="G34" s="44">
        <v>2.2000000000000002</v>
      </c>
      <c r="H34" s="44">
        <v>6.5000000000000002E-2</v>
      </c>
      <c r="I34" s="45">
        <v>780</v>
      </c>
      <c r="J34" s="45">
        <v>130</v>
      </c>
      <c r="K34" s="46">
        <v>3.2</v>
      </c>
      <c r="L34" s="44">
        <v>21</v>
      </c>
      <c r="M34" s="44">
        <v>85</v>
      </c>
      <c r="N34" s="22"/>
      <c r="O34" s="1"/>
      <c r="P34" s="36"/>
      <c r="R34" s="66"/>
      <c r="S34" s="66"/>
      <c r="T34" s="8"/>
    </row>
    <row r="35" spans="1:20">
      <c r="A35" s="4">
        <f t="shared" si="0"/>
        <v>34</v>
      </c>
      <c r="B35" s="25">
        <v>4.41</v>
      </c>
      <c r="C35" s="25">
        <v>0.13500000000000001</v>
      </c>
      <c r="D35" s="25">
        <v>39.270000000000003</v>
      </c>
      <c r="E35" s="25">
        <v>8.52</v>
      </c>
      <c r="F35" s="63">
        <v>8.1223045267489719E-2</v>
      </c>
      <c r="G35" s="44">
        <v>2.2000000000000002</v>
      </c>
      <c r="H35" s="44">
        <v>6.3E-2</v>
      </c>
      <c r="I35" s="45">
        <v>756</v>
      </c>
      <c r="J35" s="45">
        <v>126</v>
      </c>
      <c r="K35" s="46">
        <v>2.41</v>
      </c>
      <c r="L35" s="44">
        <v>18</v>
      </c>
      <c r="M35" s="44">
        <v>85</v>
      </c>
      <c r="N35" s="22"/>
      <c r="O35" s="1"/>
      <c r="P35" s="36"/>
      <c r="R35" s="66"/>
      <c r="S35" s="66"/>
      <c r="T35" s="8"/>
    </row>
    <row r="36" spans="1:20">
      <c r="A36" s="4">
        <f t="shared" si="0"/>
        <v>35</v>
      </c>
      <c r="B36" s="25">
        <v>1.34</v>
      </c>
      <c r="C36" s="25">
        <v>0.13500000000000001</v>
      </c>
      <c r="D36" s="25">
        <v>39.57</v>
      </c>
      <c r="E36" s="25">
        <v>12.62</v>
      </c>
      <c r="F36" s="63">
        <v>7.9264986180210023E-2</v>
      </c>
      <c r="G36" s="44">
        <v>2.2000000000000002</v>
      </c>
      <c r="H36" s="44">
        <v>6.3E-2</v>
      </c>
      <c r="I36" s="45">
        <v>756</v>
      </c>
      <c r="J36" s="45">
        <v>126</v>
      </c>
      <c r="K36" s="46">
        <v>2.41</v>
      </c>
      <c r="L36" s="44">
        <v>18</v>
      </c>
      <c r="M36" s="44">
        <v>85</v>
      </c>
      <c r="N36" s="22"/>
      <c r="O36" s="1"/>
      <c r="P36" s="36"/>
      <c r="R36" s="66"/>
      <c r="S36" s="66"/>
      <c r="T36" s="8"/>
    </row>
    <row r="37" spans="1:20">
      <c r="A37" s="4">
        <f t="shared" si="0"/>
        <v>36</v>
      </c>
      <c r="B37" s="25">
        <v>0.45499999999999996</v>
      </c>
      <c r="C37" s="25">
        <v>0.35</v>
      </c>
      <c r="D37" s="25">
        <v>42.47</v>
      </c>
      <c r="E37" s="25">
        <v>14.85</v>
      </c>
      <c r="F37" s="63">
        <v>4.9057142857142855E-2</v>
      </c>
      <c r="G37" s="44">
        <v>2.2000000000000002</v>
      </c>
      <c r="H37" s="44">
        <v>6.5000000000000002E-2</v>
      </c>
      <c r="I37" s="45">
        <v>780</v>
      </c>
      <c r="J37" s="45">
        <v>130</v>
      </c>
      <c r="K37" s="46">
        <v>3.2</v>
      </c>
      <c r="L37" s="44">
        <v>21</v>
      </c>
      <c r="M37" s="44">
        <v>127</v>
      </c>
      <c r="N37" s="22"/>
      <c r="O37" s="1"/>
      <c r="P37" s="36"/>
      <c r="R37" s="66"/>
      <c r="S37" s="66"/>
      <c r="T37" s="8"/>
    </row>
    <row r="38" spans="1:20">
      <c r="A38" s="4">
        <f t="shared" si="0"/>
        <v>37</v>
      </c>
      <c r="B38" s="25">
        <v>0.53</v>
      </c>
      <c r="C38" s="25">
        <v>0.45499999999999996</v>
      </c>
      <c r="D38" s="25">
        <v>44.57</v>
      </c>
      <c r="E38" s="25">
        <v>12</v>
      </c>
      <c r="F38" s="63">
        <v>0.1762481360149285</v>
      </c>
      <c r="G38" s="44">
        <v>2.2000000000000002</v>
      </c>
      <c r="H38" s="44">
        <v>6.5000000000000002E-2</v>
      </c>
      <c r="I38" s="45">
        <v>780</v>
      </c>
      <c r="J38" s="45">
        <v>130</v>
      </c>
      <c r="K38" s="46">
        <v>3.2</v>
      </c>
      <c r="L38" s="44">
        <v>21</v>
      </c>
      <c r="M38" s="44">
        <v>127</v>
      </c>
      <c r="N38" s="22"/>
      <c r="O38" s="1"/>
      <c r="P38" s="36"/>
      <c r="R38" s="66"/>
      <c r="S38" s="66"/>
      <c r="T38" s="8"/>
    </row>
    <row r="39" spans="1:20">
      <c r="A39" s="4">
        <f t="shared" si="0"/>
        <v>38</v>
      </c>
      <c r="B39" s="25">
        <v>0.82</v>
      </c>
      <c r="C39" s="25">
        <v>0.45499999999999996</v>
      </c>
      <c r="D39" s="25">
        <v>46.21</v>
      </c>
      <c r="E39" s="25">
        <v>9.75</v>
      </c>
      <c r="F39" s="63">
        <v>4.8397802197802209E-2</v>
      </c>
      <c r="G39" s="44">
        <v>2.2000000000000002</v>
      </c>
      <c r="H39" s="44">
        <v>6.5000000000000002E-2</v>
      </c>
      <c r="I39" s="45">
        <v>780</v>
      </c>
      <c r="J39" s="45">
        <v>130</v>
      </c>
      <c r="K39" s="46">
        <v>3.2</v>
      </c>
      <c r="L39" s="44">
        <v>21</v>
      </c>
      <c r="M39" s="44">
        <v>127</v>
      </c>
      <c r="N39" s="22"/>
      <c r="O39" s="1"/>
      <c r="P39" s="36"/>
      <c r="R39" s="66"/>
      <c r="S39" s="66"/>
      <c r="T39" s="8"/>
    </row>
    <row r="40" spans="1:20">
      <c r="A40" s="4">
        <f t="shared" si="0"/>
        <v>39</v>
      </c>
      <c r="B40" s="25">
        <v>2.57</v>
      </c>
      <c r="C40" s="25">
        <v>0.69499999999999995</v>
      </c>
      <c r="D40" s="25">
        <v>15.47</v>
      </c>
      <c r="E40" s="25">
        <v>0</v>
      </c>
      <c r="F40" s="63">
        <v>4.7638848920863314E-2</v>
      </c>
      <c r="G40" s="44">
        <v>2.2000000000000002</v>
      </c>
      <c r="H40" s="44">
        <v>6.5000000000000002E-2</v>
      </c>
      <c r="I40" s="45">
        <v>780</v>
      </c>
      <c r="J40" s="45">
        <v>130</v>
      </c>
      <c r="K40" s="46">
        <v>3.2</v>
      </c>
      <c r="L40" s="44">
        <v>21</v>
      </c>
      <c r="M40" s="44">
        <v>0</v>
      </c>
      <c r="N40" s="22"/>
      <c r="O40" s="1"/>
      <c r="P40" s="36"/>
      <c r="R40" s="66"/>
      <c r="S40" s="66"/>
      <c r="T40" s="8"/>
    </row>
    <row r="41" spans="1:20">
      <c r="A41" s="4">
        <f t="shared" si="0"/>
        <v>40</v>
      </c>
      <c r="B41" s="25">
        <v>2.92</v>
      </c>
      <c r="C41" s="25">
        <v>0.69499999999999995</v>
      </c>
      <c r="D41" s="25">
        <v>19.489999999999998</v>
      </c>
      <c r="E41" s="25">
        <v>0</v>
      </c>
      <c r="F41" s="57">
        <v>4.7638848920863314E-2</v>
      </c>
      <c r="G41" s="44">
        <v>2.2000000000000002</v>
      </c>
      <c r="H41" s="44">
        <v>6.5000000000000002E-2</v>
      </c>
      <c r="I41" s="45">
        <v>780</v>
      </c>
      <c r="J41" s="45">
        <v>130</v>
      </c>
      <c r="K41" s="46">
        <v>3.2</v>
      </c>
      <c r="L41" s="44">
        <v>21</v>
      </c>
      <c r="M41" s="44">
        <v>0</v>
      </c>
      <c r="N41" s="22"/>
      <c r="O41" s="1"/>
      <c r="P41" s="36"/>
      <c r="R41" s="66"/>
      <c r="S41" s="66"/>
      <c r="T41" s="8"/>
    </row>
    <row r="42" spans="1:20">
      <c r="A42" s="4">
        <f t="shared" si="0"/>
        <v>41</v>
      </c>
      <c r="B42" s="25">
        <v>2.12</v>
      </c>
      <c r="C42" s="25">
        <v>0.69499999999999995</v>
      </c>
      <c r="D42" s="25">
        <v>23.34</v>
      </c>
      <c r="E42" s="25">
        <v>0</v>
      </c>
      <c r="F42" s="57">
        <v>4.7638848920863314E-2</v>
      </c>
      <c r="G42" s="44">
        <v>2.2000000000000002</v>
      </c>
      <c r="H42" s="44">
        <v>6.5000000000000002E-2</v>
      </c>
      <c r="I42" s="45">
        <v>780</v>
      </c>
      <c r="J42" s="45">
        <v>130</v>
      </c>
      <c r="K42" s="46">
        <v>3.2</v>
      </c>
      <c r="L42" s="44">
        <v>21</v>
      </c>
      <c r="M42" s="44">
        <v>0</v>
      </c>
      <c r="N42" s="22"/>
      <c r="O42" s="1"/>
      <c r="P42" s="36"/>
      <c r="R42" s="66"/>
      <c r="S42" s="66"/>
      <c r="T42" s="8"/>
    </row>
    <row r="43" spans="1:20">
      <c r="A43" s="4">
        <f t="shared" si="0"/>
        <v>42</v>
      </c>
      <c r="B43" s="25">
        <v>2.12</v>
      </c>
      <c r="C43" s="25">
        <v>0.69499999999999995</v>
      </c>
      <c r="D43" s="25">
        <v>27.86</v>
      </c>
      <c r="E43" s="25">
        <v>0</v>
      </c>
      <c r="F43" s="57">
        <v>4.7638848920863314E-2</v>
      </c>
      <c r="G43" s="44">
        <v>2.2000000000000002</v>
      </c>
      <c r="H43" s="44">
        <v>6.5000000000000002E-2</v>
      </c>
      <c r="I43" s="45">
        <v>780</v>
      </c>
      <c r="J43" s="45">
        <v>130</v>
      </c>
      <c r="K43" s="46">
        <v>3.2</v>
      </c>
      <c r="L43" s="44">
        <v>21</v>
      </c>
      <c r="M43" s="44">
        <v>0</v>
      </c>
      <c r="N43" s="22"/>
      <c r="O43" s="1"/>
      <c r="P43" s="36"/>
      <c r="R43" s="66"/>
      <c r="S43" s="66"/>
      <c r="T43" s="8"/>
    </row>
    <row r="44" spans="1:20">
      <c r="A44" s="4">
        <f t="shared" si="0"/>
        <v>43</v>
      </c>
      <c r="B44" s="25">
        <v>3</v>
      </c>
      <c r="C44" s="25">
        <v>0.69499999999999995</v>
      </c>
      <c r="D44" s="25">
        <v>31.73</v>
      </c>
      <c r="E44" s="25">
        <v>0</v>
      </c>
      <c r="F44" s="57">
        <v>4.76388489208633E-2</v>
      </c>
      <c r="G44" s="44">
        <v>2.2000000000000002</v>
      </c>
      <c r="H44" s="44">
        <v>6.5000000000000002E-2</v>
      </c>
      <c r="I44" s="45">
        <v>780</v>
      </c>
      <c r="J44" s="45">
        <v>130</v>
      </c>
      <c r="K44" s="46">
        <v>3.2</v>
      </c>
      <c r="L44" s="44">
        <v>21</v>
      </c>
      <c r="M44" s="44">
        <v>0</v>
      </c>
      <c r="N44" s="22"/>
      <c r="O44" s="1"/>
      <c r="P44" s="36"/>
      <c r="R44" s="66"/>
      <c r="S44" s="66"/>
      <c r="T44" s="8"/>
    </row>
    <row r="45" spans="1:20">
      <c r="A45" s="4">
        <f t="shared" si="0"/>
        <v>44</v>
      </c>
      <c r="B45" s="25">
        <v>2.89</v>
      </c>
      <c r="C45" s="25">
        <v>0.69499999999999995</v>
      </c>
      <c r="D45" s="25">
        <v>35.97</v>
      </c>
      <c r="E45" s="25">
        <v>0</v>
      </c>
      <c r="F45" s="57">
        <v>4.7638848920863314E-2</v>
      </c>
      <c r="G45" s="44">
        <v>2.2000000000000002</v>
      </c>
      <c r="H45" s="44">
        <v>6.5000000000000002E-2</v>
      </c>
      <c r="I45" s="45">
        <v>780</v>
      </c>
      <c r="J45" s="45">
        <v>130</v>
      </c>
      <c r="K45" s="46">
        <v>3.2</v>
      </c>
      <c r="L45" s="44">
        <v>21</v>
      </c>
      <c r="M45" s="44">
        <v>0</v>
      </c>
      <c r="N45" s="22"/>
      <c r="O45" s="1"/>
      <c r="P45" s="36"/>
      <c r="R45" s="66"/>
      <c r="S45" s="66"/>
      <c r="T45" s="8"/>
    </row>
    <row r="46" spans="1:20">
      <c r="A46" s="4">
        <f t="shared" si="0"/>
        <v>45</v>
      </c>
      <c r="B46" s="25">
        <v>2.2400000000000002</v>
      </c>
      <c r="C46" s="25">
        <v>0.60499999999999998</v>
      </c>
      <c r="D46" s="25">
        <v>37.840000000000003</v>
      </c>
      <c r="E46" s="25">
        <v>1.39</v>
      </c>
      <c r="F46" s="57">
        <v>5.341330578512396E-2</v>
      </c>
      <c r="G46" s="44">
        <v>2.2000000000000002</v>
      </c>
      <c r="H46" s="44">
        <v>6.5000000000000002E-2</v>
      </c>
      <c r="I46" s="45">
        <v>780</v>
      </c>
      <c r="J46" s="45">
        <v>130</v>
      </c>
      <c r="K46" s="46">
        <v>3.2</v>
      </c>
      <c r="L46" s="44">
        <v>21</v>
      </c>
      <c r="M46" s="44">
        <v>42</v>
      </c>
      <c r="N46" s="22"/>
      <c r="O46" s="1"/>
      <c r="P46" s="36"/>
      <c r="R46" s="66"/>
      <c r="S46" s="66"/>
      <c r="T46" s="8"/>
    </row>
    <row r="47" spans="1:20">
      <c r="A47" s="4">
        <f t="shared" si="0"/>
        <v>46</v>
      </c>
      <c r="B47" s="25">
        <v>2.15</v>
      </c>
      <c r="C47" s="25">
        <v>0.60499999999999998</v>
      </c>
      <c r="D47" s="25">
        <v>40.44</v>
      </c>
      <c r="E47" s="25">
        <v>3.74</v>
      </c>
      <c r="F47" s="57">
        <v>5.4823541802806082E-2</v>
      </c>
      <c r="G47" s="44">
        <v>2.2000000000000002</v>
      </c>
      <c r="H47" s="44">
        <v>6.5000000000000002E-2</v>
      </c>
      <c r="I47" s="45">
        <v>780</v>
      </c>
      <c r="J47" s="45">
        <v>130</v>
      </c>
      <c r="K47" s="46">
        <v>3.2</v>
      </c>
      <c r="L47" s="44">
        <v>21</v>
      </c>
      <c r="M47" s="44">
        <v>42</v>
      </c>
      <c r="N47" s="22"/>
      <c r="O47" s="1"/>
      <c r="P47" s="36"/>
      <c r="R47" s="66"/>
      <c r="S47" s="66"/>
      <c r="T47" s="8"/>
    </row>
    <row r="48" spans="1:20">
      <c r="A48" s="4">
        <f t="shared" si="0"/>
        <v>47</v>
      </c>
      <c r="B48" s="25">
        <v>2.4700000000000002</v>
      </c>
      <c r="C48" s="25">
        <v>0.60499999999999998</v>
      </c>
      <c r="D48" s="25">
        <v>43.12</v>
      </c>
      <c r="E48" s="25">
        <v>6.16</v>
      </c>
      <c r="F48" s="57">
        <v>5.5211870043831768E-2</v>
      </c>
      <c r="G48" s="44">
        <v>2.2000000000000002</v>
      </c>
      <c r="H48" s="44">
        <v>6.5000000000000002E-2</v>
      </c>
      <c r="I48" s="45">
        <v>780</v>
      </c>
      <c r="J48" s="45">
        <v>130</v>
      </c>
      <c r="K48" s="46">
        <v>3.2</v>
      </c>
      <c r="L48" s="44">
        <v>21</v>
      </c>
      <c r="M48" s="44">
        <v>42</v>
      </c>
      <c r="N48" s="22"/>
      <c r="O48" s="1"/>
      <c r="P48" s="36"/>
      <c r="R48" s="66"/>
      <c r="S48" s="66"/>
      <c r="T48" s="8"/>
    </row>
    <row r="49" spans="1:21">
      <c r="A49" s="4">
        <f t="shared" si="0"/>
        <v>48</v>
      </c>
      <c r="B49" s="25">
        <v>3.57</v>
      </c>
      <c r="C49" s="25">
        <v>0.60499999999999998</v>
      </c>
      <c r="D49" s="25">
        <v>46.34</v>
      </c>
      <c r="E49" s="25">
        <v>9.06</v>
      </c>
      <c r="F49" s="57">
        <v>5.4625020256036286E-2</v>
      </c>
      <c r="G49" s="44">
        <v>2.2000000000000002</v>
      </c>
      <c r="H49" s="44">
        <v>6.5000000000000002E-2</v>
      </c>
      <c r="I49" s="45">
        <v>780</v>
      </c>
      <c r="J49" s="45">
        <v>130</v>
      </c>
      <c r="K49" s="46">
        <v>3.2</v>
      </c>
      <c r="L49" s="44">
        <v>21</v>
      </c>
      <c r="M49" s="44">
        <v>42</v>
      </c>
      <c r="N49" s="22"/>
      <c r="O49" s="1"/>
      <c r="P49" s="36"/>
      <c r="R49" s="66"/>
      <c r="S49" s="66"/>
      <c r="T49" s="8"/>
    </row>
    <row r="50" spans="1:21">
      <c r="A50" s="4">
        <f t="shared" si="0"/>
        <v>49</v>
      </c>
      <c r="B50" s="25">
        <v>1.3</v>
      </c>
      <c r="C50" s="25">
        <v>0.60499999999999998</v>
      </c>
      <c r="D50" s="25">
        <v>49.12</v>
      </c>
      <c r="E50" s="25">
        <v>11.57</v>
      </c>
      <c r="F50" s="57">
        <v>5.5603392244119532E-2</v>
      </c>
      <c r="G50" s="44">
        <v>2.2000000000000002</v>
      </c>
      <c r="H50" s="44">
        <v>6.5000000000000002E-2</v>
      </c>
      <c r="I50" s="45">
        <v>780</v>
      </c>
      <c r="J50" s="45">
        <v>130</v>
      </c>
      <c r="K50" s="46">
        <v>3.2</v>
      </c>
      <c r="L50" s="44">
        <v>21</v>
      </c>
      <c r="M50" s="44">
        <v>42</v>
      </c>
      <c r="N50" s="22"/>
      <c r="O50" s="1"/>
      <c r="P50" s="36"/>
      <c r="R50" s="66"/>
      <c r="S50" s="66"/>
      <c r="T50" s="8"/>
    </row>
    <row r="51" spans="1:21">
      <c r="A51" s="4">
        <f t="shared" si="0"/>
        <v>50</v>
      </c>
      <c r="B51" s="25">
        <v>1</v>
      </c>
      <c r="C51" s="25">
        <v>0.22500000000000001</v>
      </c>
      <c r="D51" s="25">
        <v>44.78</v>
      </c>
      <c r="E51" s="25">
        <v>16.93</v>
      </c>
      <c r="F51" s="57">
        <v>0.10682323555555558</v>
      </c>
      <c r="G51" s="44">
        <v>4.2</v>
      </c>
      <c r="H51" s="44">
        <v>6.3E-2</v>
      </c>
      <c r="I51" s="45">
        <v>756</v>
      </c>
      <c r="J51" s="45">
        <v>126</v>
      </c>
      <c r="K51" s="46">
        <v>2.41</v>
      </c>
      <c r="L51" s="44">
        <v>18</v>
      </c>
      <c r="M51" s="44">
        <v>36</v>
      </c>
      <c r="N51" s="22"/>
      <c r="O51" s="1"/>
      <c r="P51" s="36"/>
      <c r="R51" s="66"/>
      <c r="S51" s="66"/>
      <c r="T51" s="8"/>
    </row>
    <row r="52" spans="1:21" s="34" customFormat="1" ht="15" thickBot="1">
      <c r="A52" s="39">
        <f t="shared" si="0"/>
        <v>51</v>
      </c>
      <c r="B52" s="41">
        <v>1.2</v>
      </c>
      <c r="C52" s="41">
        <v>0.22500000000000001</v>
      </c>
      <c r="D52" s="41">
        <v>42.92</v>
      </c>
      <c r="E52" s="41">
        <v>15.57</v>
      </c>
      <c r="F52" s="58">
        <v>0.17236437037037039</v>
      </c>
      <c r="G52" s="48">
        <v>4.2</v>
      </c>
      <c r="H52" s="48">
        <v>6.3E-2</v>
      </c>
      <c r="I52" s="49">
        <v>756</v>
      </c>
      <c r="J52" s="49">
        <v>126</v>
      </c>
      <c r="K52" s="54">
        <v>2.41</v>
      </c>
      <c r="L52" s="48">
        <v>18</v>
      </c>
      <c r="M52" s="48">
        <v>36</v>
      </c>
      <c r="N52" s="22"/>
      <c r="O52" s="1"/>
      <c r="P52" s="36"/>
      <c r="Q52"/>
      <c r="R52" s="66"/>
      <c r="S52" s="66"/>
      <c r="T52" s="8"/>
      <c r="U52"/>
    </row>
    <row r="53" spans="1:21">
      <c r="A53" s="37">
        <f t="shared" si="0"/>
        <v>52</v>
      </c>
      <c r="B53" s="35">
        <v>1.7</v>
      </c>
      <c r="C53" s="35">
        <v>0.47499999999999998</v>
      </c>
      <c r="D53" s="35">
        <v>49.72</v>
      </c>
      <c r="E53" s="35">
        <v>12.54</v>
      </c>
      <c r="F53" s="60">
        <v>5.4545466253869981E-2</v>
      </c>
      <c r="G53" s="51">
        <v>2.2000000000000002</v>
      </c>
      <c r="H53" s="51">
        <v>6.5000000000000002E-2</v>
      </c>
      <c r="I53" s="52">
        <v>780</v>
      </c>
      <c r="J53" s="52">
        <v>130</v>
      </c>
      <c r="K53" s="53">
        <v>3.2</v>
      </c>
      <c r="L53" s="51">
        <v>21</v>
      </c>
      <c r="M53" s="51">
        <v>69</v>
      </c>
      <c r="N53" s="22"/>
      <c r="O53" s="1"/>
      <c r="P53" s="36"/>
      <c r="R53" s="66"/>
      <c r="S53" s="66"/>
      <c r="T53" s="8"/>
    </row>
    <row r="54" spans="1:21">
      <c r="A54" s="4">
        <f t="shared" si="0"/>
        <v>53</v>
      </c>
      <c r="B54" s="25">
        <v>3.42</v>
      </c>
      <c r="C54" s="25">
        <v>0.47499999999999998</v>
      </c>
      <c r="D54" s="25">
        <v>51.13</v>
      </c>
      <c r="E54" s="25">
        <v>16.14</v>
      </c>
      <c r="F54" s="57">
        <v>5.6554878424130504E-2</v>
      </c>
      <c r="G54" s="44">
        <v>2.2000000000000002</v>
      </c>
      <c r="H54" s="51">
        <v>6.5000000000000002E-2</v>
      </c>
      <c r="I54" s="45">
        <v>780</v>
      </c>
      <c r="J54" s="45">
        <v>130</v>
      </c>
      <c r="K54" s="53">
        <v>3.2</v>
      </c>
      <c r="L54" s="44">
        <v>21</v>
      </c>
      <c r="M54" s="51">
        <v>69</v>
      </c>
      <c r="N54" s="22"/>
      <c r="O54" s="1"/>
      <c r="P54" s="36"/>
      <c r="R54" s="66"/>
      <c r="S54" s="66"/>
      <c r="T54" s="8"/>
    </row>
    <row r="55" spans="1:21">
      <c r="A55" s="4">
        <f t="shared" si="0"/>
        <v>54</v>
      </c>
      <c r="B55" s="25">
        <v>3.15</v>
      </c>
      <c r="C55" s="25">
        <v>0.47499999999999998</v>
      </c>
      <c r="D55" s="25">
        <v>52.81</v>
      </c>
      <c r="E55" s="25">
        <v>20.420000000000002</v>
      </c>
      <c r="F55" s="57">
        <v>5.5716313450292404E-2</v>
      </c>
      <c r="G55" s="44">
        <v>2.2000000000000002</v>
      </c>
      <c r="H55" s="51">
        <v>6.5000000000000002E-2</v>
      </c>
      <c r="I55" s="45">
        <v>780</v>
      </c>
      <c r="J55" s="45">
        <v>130</v>
      </c>
      <c r="K55" s="53">
        <v>3.2</v>
      </c>
      <c r="L55" s="44">
        <v>21</v>
      </c>
      <c r="M55" s="51">
        <v>69</v>
      </c>
      <c r="N55" s="22"/>
      <c r="O55" s="1"/>
      <c r="P55" s="36"/>
      <c r="R55" s="66"/>
      <c r="S55" s="66"/>
      <c r="T55" s="8"/>
    </row>
    <row r="56" spans="1:21">
      <c r="A56" s="4">
        <f t="shared" si="0"/>
        <v>55</v>
      </c>
      <c r="B56" s="25">
        <v>1</v>
      </c>
      <c r="C56" s="25">
        <v>0.47499999999999998</v>
      </c>
      <c r="D56" s="25">
        <v>54.03</v>
      </c>
      <c r="E56" s="25">
        <v>23.55</v>
      </c>
      <c r="F56" s="57">
        <v>6.9425221052631561E-2</v>
      </c>
      <c r="G56" s="44">
        <v>2.2000000000000002</v>
      </c>
      <c r="H56" s="51">
        <v>6.5000000000000002E-2</v>
      </c>
      <c r="I56" s="45">
        <v>780</v>
      </c>
      <c r="J56" s="45">
        <v>130</v>
      </c>
      <c r="K56" s="53">
        <v>3.2</v>
      </c>
      <c r="L56" s="44">
        <v>21</v>
      </c>
      <c r="M56" s="51">
        <v>69</v>
      </c>
      <c r="N56" s="22"/>
      <c r="O56" s="1"/>
      <c r="P56" s="36"/>
      <c r="R56" s="66"/>
      <c r="S56" s="66"/>
      <c r="T56" s="8"/>
    </row>
    <row r="57" spans="1:21">
      <c r="A57" s="4">
        <f t="shared" si="0"/>
        <v>56</v>
      </c>
      <c r="B57" s="25">
        <v>0.6</v>
      </c>
      <c r="C57" s="25">
        <v>0.47499999999999998</v>
      </c>
      <c r="D57" s="25">
        <v>54.69</v>
      </c>
      <c r="E57" s="25">
        <v>25.23</v>
      </c>
      <c r="F57" s="57">
        <v>4.948755087719299E-2</v>
      </c>
      <c r="G57" s="44">
        <v>2.2000000000000002</v>
      </c>
      <c r="H57" s="51">
        <v>6.5000000000000002E-2</v>
      </c>
      <c r="I57" s="45">
        <v>780</v>
      </c>
      <c r="J57" s="45">
        <v>130</v>
      </c>
      <c r="K57" s="53">
        <v>3.2</v>
      </c>
      <c r="L57" s="44">
        <v>21</v>
      </c>
      <c r="M57" s="51">
        <v>69</v>
      </c>
      <c r="N57" s="22"/>
      <c r="O57" s="1"/>
      <c r="P57" s="36"/>
      <c r="R57" s="66"/>
      <c r="S57" s="66"/>
      <c r="T57" s="8"/>
    </row>
    <row r="58" spans="1:21">
      <c r="A58" s="4">
        <f t="shared" si="0"/>
        <v>57</v>
      </c>
      <c r="B58" s="25">
        <v>1.96</v>
      </c>
      <c r="C58" s="25">
        <v>0.35499999999999998</v>
      </c>
      <c r="D58" s="25">
        <v>47.18</v>
      </c>
      <c r="E58" s="25">
        <v>26.04</v>
      </c>
      <c r="F58" s="57">
        <v>4.9787323943661962E-2</v>
      </c>
      <c r="G58" s="44">
        <v>2.2000000000000002</v>
      </c>
      <c r="H58" s="51">
        <v>6.5000000000000002E-2</v>
      </c>
      <c r="I58" s="45">
        <v>780</v>
      </c>
      <c r="J58" s="45">
        <v>130</v>
      </c>
      <c r="K58" s="53">
        <v>3.2</v>
      </c>
      <c r="L58" s="44">
        <v>21</v>
      </c>
      <c r="M58" s="44">
        <v>172</v>
      </c>
      <c r="N58" s="22"/>
      <c r="O58" s="1"/>
      <c r="P58" s="36"/>
      <c r="R58" s="66"/>
      <c r="S58" s="66"/>
      <c r="T58" s="8"/>
    </row>
    <row r="59" spans="1:21">
      <c r="A59" s="4">
        <f t="shared" si="0"/>
        <v>58</v>
      </c>
      <c r="B59" s="25">
        <v>2</v>
      </c>
      <c r="C59" s="25">
        <v>0.35499999999999998</v>
      </c>
      <c r="D59" s="25">
        <v>50.17</v>
      </c>
      <c r="E59" s="25">
        <v>25.71</v>
      </c>
      <c r="F59" s="57">
        <v>0.15765264225352116</v>
      </c>
      <c r="G59" s="44">
        <v>2.2000000000000002</v>
      </c>
      <c r="H59" s="51">
        <v>6.5000000000000002E-2</v>
      </c>
      <c r="I59" s="45">
        <v>780</v>
      </c>
      <c r="J59" s="45">
        <v>130</v>
      </c>
      <c r="K59" s="53">
        <v>3.2</v>
      </c>
      <c r="L59" s="44">
        <v>21</v>
      </c>
      <c r="M59" s="55">
        <v>172</v>
      </c>
      <c r="N59" s="22"/>
      <c r="O59" s="1"/>
      <c r="P59" s="36"/>
      <c r="R59" s="66"/>
      <c r="S59" s="66"/>
      <c r="T59" s="8"/>
    </row>
    <row r="60" spans="1:21">
      <c r="A60" s="4">
        <f t="shared" si="0"/>
        <v>59</v>
      </c>
      <c r="B60" s="25">
        <v>2.27</v>
      </c>
      <c r="C60" s="25">
        <v>0.29499999999999998</v>
      </c>
      <c r="D60" s="25">
        <v>50.29</v>
      </c>
      <c r="E60" s="25">
        <v>21.16</v>
      </c>
      <c r="F60" s="57">
        <v>8.3394128275965068E-2</v>
      </c>
      <c r="G60" s="44">
        <v>2.2000000000000002</v>
      </c>
      <c r="H60" s="51">
        <v>6.5000000000000002E-2</v>
      </c>
      <c r="I60" s="45">
        <v>780</v>
      </c>
      <c r="J60" s="45">
        <v>130</v>
      </c>
      <c r="K60" s="53">
        <v>3.2</v>
      </c>
      <c r="L60" s="44">
        <v>21</v>
      </c>
      <c r="M60" s="55">
        <v>162</v>
      </c>
      <c r="N60" s="22"/>
      <c r="O60" s="1"/>
      <c r="P60" s="36"/>
      <c r="R60" s="66"/>
      <c r="S60" s="66"/>
      <c r="T60" s="8"/>
    </row>
    <row r="61" spans="1:21">
      <c r="A61" s="4">
        <f t="shared" si="0"/>
        <v>60</v>
      </c>
      <c r="B61" s="25">
        <v>1.82</v>
      </c>
      <c r="C61" s="25">
        <v>0.13500000000000001</v>
      </c>
      <c r="D61" s="25">
        <v>49.28</v>
      </c>
      <c r="E61" s="25">
        <v>22.26</v>
      </c>
      <c r="F61" s="57">
        <v>4.7007407407407407E-2</v>
      </c>
      <c r="G61" s="44">
        <v>2.2000000000000002</v>
      </c>
      <c r="H61" s="44">
        <v>6.3E-2</v>
      </c>
      <c r="I61" s="45">
        <v>756</v>
      </c>
      <c r="J61" s="45">
        <v>126</v>
      </c>
      <c r="K61" s="46">
        <v>2.41</v>
      </c>
      <c r="L61" s="44">
        <v>18</v>
      </c>
      <c r="M61" s="55">
        <v>85</v>
      </c>
      <c r="N61" s="22"/>
      <c r="O61" s="1"/>
      <c r="P61" s="36"/>
      <c r="R61" s="66"/>
      <c r="S61" s="66"/>
      <c r="T61" s="8"/>
    </row>
    <row r="62" spans="1:21">
      <c r="A62" s="4">
        <f t="shared" si="0"/>
        <v>61</v>
      </c>
      <c r="B62" s="25">
        <v>2.2200000000000002</v>
      </c>
      <c r="C62" s="25">
        <v>0.29499999999999998</v>
      </c>
      <c r="D62" s="25">
        <v>51.51</v>
      </c>
      <c r="E62" s="25">
        <v>24.42</v>
      </c>
      <c r="F62" s="57">
        <v>4.9589830508474569E-2</v>
      </c>
      <c r="G62" s="44">
        <v>2.2000000000000002</v>
      </c>
      <c r="H62" s="44">
        <v>6.5000000000000002E-2</v>
      </c>
      <c r="I62" s="45">
        <v>780</v>
      </c>
      <c r="J62" s="45">
        <v>130</v>
      </c>
      <c r="K62" s="46">
        <v>3.2</v>
      </c>
      <c r="L62" s="44">
        <v>21</v>
      </c>
      <c r="M62" s="55">
        <v>162</v>
      </c>
      <c r="N62" s="22"/>
      <c r="O62" s="1"/>
      <c r="P62" s="36"/>
      <c r="R62" s="66"/>
      <c r="S62" s="66"/>
      <c r="T62" s="8"/>
    </row>
    <row r="63" spans="1:21">
      <c r="M63" s="36"/>
      <c r="N63" s="36"/>
    </row>
    <row r="64" spans="1:21">
      <c r="M64" s="36"/>
      <c r="N64" s="36"/>
    </row>
    <row r="65" spans="13:14">
      <c r="M65" s="36"/>
      <c r="N65" s="36"/>
    </row>
    <row r="66" spans="13:14">
      <c r="M66" s="36"/>
      <c r="N66" s="36"/>
    </row>
    <row r="67" spans="13:14">
      <c r="M67" s="36"/>
      <c r="N67" s="36"/>
    </row>
    <row r="68" spans="13:14">
      <c r="M68" s="36"/>
      <c r="N68" s="36"/>
    </row>
    <row r="69" spans="13:14">
      <c r="M69" s="36"/>
      <c r="N69" s="36"/>
    </row>
    <row r="70" spans="13:14">
      <c r="M70" s="36"/>
      <c r="N70" s="36"/>
    </row>
    <row r="71" spans="13:14">
      <c r="M71" s="36"/>
      <c r="N71" s="36"/>
    </row>
    <row r="72" spans="13:14">
      <c r="M72" s="36"/>
      <c r="N72" s="36"/>
    </row>
    <row r="73" spans="13:14">
      <c r="M73" s="36"/>
      <c r="N73" s="36"/>
    </row>
    <row r="74" spans="13:14">
      <c r="M74" s="36"/>
      <c r="N74" s="36"/>
    </row>
    <row r="75" spans="13:14">
      <c r="M75" s="36"/>
      <c r="N75" s="36"/>
    </row>
    <row r="76" spans="13:14">
      <c r="M76" s="36"/>
      <c r="N76" s="36"/>
    </row>
    <row r="77" spans="13:14">
      <c r="M77" s="36"/>
      <c r="N77" s="36"/>
    </row>
    <row r="78" spans="13:14">
      <c r="M78" s="36"/>
      <c r="N78" s="36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9533EB31DA2744A7A44234F112F818" ma:contentTypeVersion="19" ma:contentTypeDescription="Create a new document." ma:contentTypeScope="" ma:versionID="ab779600cdf628fc540ab59992ded3ec">
  <xsd:schema xmlns:xsd="http://www.w3.org/2001/XMLSchema" xmlns:xs="http://www.w3.org/2001/XMLSchema" xmlns:p="http://schemas.microsoft.com/office/2006/metadata/properties" xmlns:ns3="aa8222a2-ebe6-491a-9d50-3174585989ac" xmlns:ns4="f522c97b-b26d-48a5-8fd6-d8fcf4d3a23a" targetNamespace="http://schemas.microsoft.com/office/2006/metadata/properties" ma:root="true" ma:fieldsID="8782266a7053dcd28838c47c06aa375c" ns3:_="" ns4:_="">
    <xsd:import namespace="aa8222a2-ebe6-491a-9d50-3174585989ac"/>
    <xsd:import namespace="f522c97b-b26d-48a5-8fd6-d8fcf4d3a23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8222a2-ebe6-491a-9d50-3174585989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22c97b-b26d-48a5-8fd6-d8fcf4d3a23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8222a2-ebe6-491a-9d50-3174585989ac" xsi:nil="true"/>
  </documentManagement>
</p:properties>
</file>

<file path=customXml/itemProps1.xml><?xml version="1.0" encoding="utf-8"?>
<ds:datastoreItem xmlns:ds="http://schemas.openxmlformats.org/officeDocument/2006/customXml" ds:itemID="{C97AFAC0-D170-4F66-8198-19EBCE08C5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A35901-4F34-41D8-BFE7-6466B69AAD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8222a2-ebe6-491a-9d50-3174585989ac"/>
    <ds:schemaRef ds:uri="f522c97b-b26d-48a5-8fd6-d8fcf4d3a2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813F936-7D6F-4B9F-AF6E-4354542D8700}">
  <ds:schemaRefs>
    <ds:schemaRef ds:uri="http://schemas.microsoft.com/office/2006/metadata/properties"/>
    <ds:schemaRef ds:uri="http://schemas.microsoft.com/office/infopath/2007/PartnerControls"/>
    <ds:schemaRef ds:uri="aa8222a2-ebe6-491a-9d50-3174585989a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data</vt:lpstr>
      <vt:lpstr>Floor1</vt:lpstr>
      <vt:lpstr>Floor2</vt:lpstr>
      <vt:lpstr>Floor3</vt:lpstr>
      <vt:lpstr>Floor4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Filippo Landi</dc:creator>
  <cp:keywords/>
  <dc:description/>
  <cp:lastModifiedBy>Popovics  Bence</cp:lastModifiedBy>
  <cp:revision/>
  <dcterms:created xsi:type="dcterms:W3CDTF">2017-04-18T15:43:59Z</dcterms:created>
  <dcterms:modified xsi:type="dcterms:W3CDTF">2026-05-23T11:40:28Z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0x010100A89533EB31DA2744A7A44234F112F818</vt:lpwstr>
  </property>
</Properties>
</file>